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8F5CB64-01E2-47CE-8B57-C15E6D5DAF5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8" sheetId="25" r:id="rId3"/>
    <sheet name="Sheet7" sheetId="24" r:id="rId4"/>
    <sheet name="Sheet6" sheetId="23" r:id="rId5"/>
    <sheet name="Sheet5" sheetId="22" r:id="rId6"/>
    <sheet name="Sheet4" sheetId="21" r:id="rId7"/>
    <sheet name="Sheet3" sheetId="20" r:id="rId8"/>
    <sheet name="Sheet2" sheetId="19" r:id="rId9"/>
    <sheet name="Sheet1" sheetId="18" r:id="rId10"/>
    <sheet name="Names" sheetId="5" r:id="rId11"/>
    <sheet name="NEW NODES" sheetId="6" r:id="rId12"/>
    <sheet name="People" sheetId="7" r:id="rId13"/>
    <sheet name="2023" sheetId="8" state="hidden" r:id="rId14"/>
    <sheet name="Sectors" sheetId="9" r:id="rId15"/>
    <sheet name="Okey" sheetId="10" r:id="rId16"/>
    <sheet name="KPI" sheetId="12" r:id="rId17"/>
  </sheets>
  <definedNames>
    <definedName name="_xlnm._FilterDatabase" localSheetId="13">'2023'!$A$1:$M$1</definedName>
    <definedName name="_xlnm._FilterDatabase" localSheetId="10">Names!$A$237:$G$388</definedName>
    <definedName name="_xlnm._FilterDatabase" localSheetId="12">People!$A$1:$B$1</definedName>
    <definedName name="_xlnm._FilterDatabase" localSheetId="6" hidden="1">Sheet4!$A$1:$G$1</definedName>
    <definedName name="_xlnm._FilterDatabase" localSheetId="1">STUCT1!#REF!</definedName>
  </definedNames>
  <calcPr calcId="181029"/>
  <pivotCaches>
    <pivotCache cacheId="0" r:id="rId18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86" i="1" l="1"/>
  <c r="A1786" i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A1367" i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366" i="1"/>
  <c r="J1364" i="1"/>
  <c r="J1365" i="1"/>
  <c r="A1365" i="1"/>
  <c r="H1365" i="1"/>
  <c r="A1364" i="1"/>
  <c r="H1364" i="1"/>
  <c r="J1363" i="1"/>
  <c r="H1363" i="1"/>
  <c r="J1355" i="1"/>
  <c r="J1362" i="1"/>
  <c r="J1361" i="1"/>
  <c r="J1360" i="1"/>
  <c r="J1359" i="1"/>
  <c r="J1358" i="1"/>
  <c r="J1357" i="1"/>
  <c r="J1356" i="1"/>
  <c r="H1361" i="1"/>
  <c r="H1362" i="1"/>
  <c r="H1355" i="1"/>
  <c r="H1356" i="1"/>
  <c r="H1357" i="1"/>
  <c r="H1358" i="1"/>
  <c r="H1359" i="1"/>
  <c r="H1360" i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H2" i="1"/>
  <c r="A116" i="1" l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</calcChain>
</file>

<file path=xl/sharedStrings.xml><?xml version="1.0" encoding="utf-8"?>
<sst xmlns="http://schemas.openxmlformats.org/spreadsheetml/2006/main" count="40327" uniqueCount="7593">
  <si>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</si>
  <si>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</si>
  <si>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</si>
  <si>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</si>
  <si>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</si>
  <si>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</si>
  <si>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</si>
  <si>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</si>
  <si>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</si>
  <si>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</si>
  <si>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</si>
  <si>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</si>
  <si>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</si>
  <si>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</si>
  <si>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</si>
  <si>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</si>
  <si>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</si>
  <si>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</si>
  <si>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</si>
  <si>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</si>
  <si>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</si>
  <si>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</si>
  <si>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</si>
  <si>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</si>
  <si>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</si>
  <si>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</si>
  <si>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</si>
  <si>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</si>
  <si>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</si>
  <si>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</si>
  <si>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</si>
  <si>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</si>
  <si>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</si>
  <si>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</si>
  <si>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</si>
  <si>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</si>
  <si>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</si>
  <si>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</si>
  <si>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</si>
  <si>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</si>
  <si>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</si>
  <si>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</si>
  <si>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</si>
  <si>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</si>
  <si>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</si>
  <si>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</si>
  <si>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</si>
  <si>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</si>
  <si>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</si>
  <si>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</si>
  <si>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</si>
  <si>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</si>
  <si>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</si>
  <si>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</si>
  <si>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</si>
  <si>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</si>
  <si>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</si>
  <si>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</si>
  <si>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</si>
  <si>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</si>
  <si>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</si>
  <si>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</si>
  <si>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</si>
  <si>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</si>
  <si>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</si>
  <si>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</si>
  <si>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</si>
  <si>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</si>
  <si>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</si>
  <si>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</si>
  <si>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</si>
  <si>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</si>
  <si>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</si>
  <si>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</si>
  <si>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</si>
  <si>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</si>
  <si>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</si>
  <si>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</si>
  <si>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</si>
  <si>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</si>
  <si>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</si>
  <si>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</si>
  <si>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</si>
  <si>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</si>
  <si>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</si>
  <si>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</si>
  <si>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</si>
  <si>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</si>
  <si>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</si>
  <si>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</si>
  <si>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</si>
  <si>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</si>
  <si>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</si>
  <si>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</si>
  <si>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</si>
  <si>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</si>
  <si>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</si>
  <si>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</si>
  <si>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</si>
  <si>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</si>
  <si>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</si>
  <si>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</si>
  <si>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</si>
  <si>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</si>
  <si>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</si>
  <si>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</si>
  <si>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</si>
  <si>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</si>
  <si>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</si>
  <si>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</si>
  <si>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</si>
  <si>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</si>
  <si>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</si>
  <si>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</si>
  <si>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</si>
  <si>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</si>
  <si>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</si>
  <si>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</si>
  <si>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</si>
  <si>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</si>
  <si>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</si>
  <si>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</si>
  <si>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</si>
  <si>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</si>
  <si>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</si>
  <si>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</si>
  <si>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</si>
  <si>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</si>
  <si>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</si>
  <si>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</si>
  <si>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</si>
  <si>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</si>
  <si>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</si>
  <si>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</si>
  <si>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</si>
  <si>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</si>
  <si>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</si>
  <si>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</si>
  <si>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</si>
  <si>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</si>
  <si>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</si>
  <si>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</si>
  <si>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</si>
  <si>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</si>
  <si>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</si>
  <si>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</si>
  <si>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</si>
  <si>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</si>
  <si>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</si>
  <si>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</si>
  <si>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</si>
  <si>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</si>
  <si>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</si>
  <si>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</si>
  <si>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</si>
  <si>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</si>
  <si>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</si>
  <si>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</si>
  <si>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</si>
  <si>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</si>
  <si>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</si>
  <si>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</si>
  <si>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</si>
  <si>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</si>
  <si>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</si>
  <si>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</si>
  <si>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</si>
  <si>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</si>
  <si>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</si>
  <si>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</si>
  <si>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</si>
  <si>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</si>
  <si>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</si>
  <si>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</si>
  <si>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</si>
  <si>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</si>
  <si>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</si>
  <si>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</si>
  <si>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</si>
  <si>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</si>
  <si>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</si>
  <si>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</si>
  <si>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</si>
  <si>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</si>
  <si>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</si>
  <si>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</si>
  <si>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</si>
  <si>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</si>
  <si>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</si>
  <si>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</si>
  <si>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</si>
  <si>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</si>
  <si>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</si>
  <si>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</si>
  <si>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</si>
  <si>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</si>
  <si>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</si>
  <si>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</si>
  <si>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</si>
  <si>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</si>
  <si>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</si>
  <si>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</si>
  <si>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</si>
  <si>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</si>
  <si>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</si>
  <si>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</si>
  <si>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</si>
  <si>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</si>
  <si>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</si>
  <si>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</si>
  <si>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</si>
  <si>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</si>
  <si>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</si>
  <si>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</si>
  <si>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</si>
  <si>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</si>
  <si>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</si>
  <si>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</si>
  <si>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</si>
  <si>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</si>
  <si>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</si>
  <si>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</si>
  <si>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</si>
  <si>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</si>
  <si>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</si>
  <si>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</si>
  <si>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</si>
  <si>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</si>
  <si>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</si>
  <si>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</si>
  <si>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</si>
  <si>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</si>
  <si>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</si>
  <si>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</si>
  <si>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</si>
  <si>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</si>
  <si>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</si>
  <si>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</si>
  <si>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</si>
  <si>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</si>
  <si>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</si>
  <si>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</si>
  <si>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</si>
  <si>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</si>
  <si>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</si>
  <si>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</si>
  <si>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</si>
  <si>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</si>
  <si>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</si>
  <si>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</si>
  <si>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</si>
  <si>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</si>
  <si>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</si>
  <si>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</si>
  <si>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</si>
  <si>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</si>
  <si>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</si>
  <si>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</si>
  <si>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</si>
  <si>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</si>
  <si>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</si>
  <si>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</si>
  <si>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</si>
  <si>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</si>
  <si>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</si>
  <si>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</si>
  <si>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</si>
  <si>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</si>
  <si>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</si>
  <si>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</si>
  <si>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</si>
  <si>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</si>
  <si>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</si>
  <si>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</si>
  <si>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</si>
  <si>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</si>
  <si>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</si>
  <si>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</si>
  <si>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</si>
  <si>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</si>
  <si>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</si>
  <si>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</si>
  <si>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</si>
  <si>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</si>
  <si>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</si>
  <si>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</si>
  <si>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</si>
  <si>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</si>
  <si>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</si>
  <si>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</si>
  <si>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</si>
  <si>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</si>
  <si>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</si>
  <si>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</si>
  <si>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</si>
  <si>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</si>
  <si>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</si>
  <si>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</si>
  <si>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</si>
  <si>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</si>
  <si>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</si>
  <si>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</si>
  <si>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</si>
  <si>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</si>
  <si>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</si>
  <si>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</si>
  <si>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</si>
  <si>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</si>
  <si>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</si>
  <si>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</si>
  <si>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</si>
  <si>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</si>
  <si>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</si>
  <si>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</si>
  <si>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</si>
  <si>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</si>
  <si>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</si>
  <si>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</si>
  <si>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</si>
  <si>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</si>
  <si>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</si>
  <si>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</si>
  <si>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</si>
  <si>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</si>
  <si>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</si>
  <si>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</si>
  <si>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</si>
  <si>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</si>
  <si>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</si>
  <si>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</si>
  <si>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</si>
  <si>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</si>
  <si>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</si>
  <si>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</si>
  <si>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</si>
  <si>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</si>
  <si>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</si>
  <si>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</si>
  <si>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</si>
  <si>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</si>
  <si>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</si>
  <si>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</si>
  <si>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</si>
  <si>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</si>
  <si>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</si>
  <si>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</si>
  <si>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</si>
  <si>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</si>
  <si>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</si>
  <si>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</si>
  <si>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</si>
  <si>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</si>
  <si>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</si>
  <si>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</si>
  <si>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</si>
  <si>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</si>
  <si>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</si>
  <si>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</si>
  <si>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</si>
  <si>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</si>
  <si>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</si>
  <si>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</si>
  <si>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</si>
  <si>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</si>
  <si>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</si>
  <si>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</si>
  <si>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</si>
  <si>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</si>
  <si>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</si>
  <si>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</si>
  <si>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</si>
  <si>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</si>
  <si>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</si>
  <si>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</si>
  <si>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</si>
  <si>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</si>
  <si>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</si>
  <si>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</si>
  <si>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</si>
  <si>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</si>
  <si>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</si>
  <si>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</si>
  <si>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</si>
  <si>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</si>
  <si>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</si>
  <si>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</si>
  <si>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</si>
  <si>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</si>
  <si>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</si>
  <si>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</si>
  <si>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</si>
  <si>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</si>
  <si>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</si>
  <si>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</si>
  <si>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</si>
  <si>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</si>
  <si>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</si>
  <si>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</si>
  <si>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</si>
  <si>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</si>
  <si>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</si>
  <si>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</si>
  <si>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</si>
  <si>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</si>
  <si>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</si>
  <si>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</si>
  <si>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</si>
  <si>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</si>
  <si>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</si>
  <si>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</si>
  <si>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</si>
  <si>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</si>
  <si>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</si>
  <si>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</si>
  <si>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</si>
  <si>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</si>
  <si>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</si>
  <si>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</si>
  <si>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</si>
  <si>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</si>
  <si>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</si>
  <si>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</si>
  <si>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</si>
  <si>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</si>
  <si>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</si>
  <si>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</si>
  <si>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</si>
  <si>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</si>
  <si>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</si>
  <si>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</si>
  <si>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</si>
  <si>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</si>
  <si>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</si>
  <si>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</si>
  <si>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</si>
  <si>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</si>
  <si>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</si>
  <si>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</si>
  <si>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</si>
  <si>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</si>
  <si>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</si>
  <si>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</si>
  <si>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</si>
  <si>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</si>
  <si>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</si>
  <si>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</si>
  <si>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</si>
  <si>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</si>
  <si>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</si>
  <si>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</si>
  <si>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</si>
  <si>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</si>
  <si>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</si>
  <si>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</si>
  <si>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</si>
  <si>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</si>
  <si>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</si>
  <si>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</si>
  <si>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</si>
  <si>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</si>
  <si>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</si>
  <si>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</si>
  <si>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</si>
  <si>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</si>
  <si>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</si>
  <si>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</si>
  <si>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</si>
  <si>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</si>
  <si>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</si>
  <si>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</si>
  <si>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</si>
  <si>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</si>
  <si>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</si>
  <si>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</si>
  <si>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</si>
  <si>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</si>
  <si>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</si>
  <si>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</si>
  <si>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</si>
  <si>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</si>
  <si>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</si>
  <si>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</si>
  <si>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</si>
  <si>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</si>
  <si>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</si>
  <si>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</si>
  <si>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</si>
  <si>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</si>
  <si>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</si>
  <si>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</si>
  <si>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</si>
  <si>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</si>
  <si>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</si>
  <si>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</si>
  <si>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</si>
  <si>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</si>
  <si>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</si>
  <si>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</si>
  <si>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</si>
  <si>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</si>
  <si>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</si>
  <si>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</si>
  <si>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</si>
  <si>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</si>
  <si>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</si>
  <si>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</si>
  <si>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</si>
  <si>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</si>
  <si>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</si>
  <si>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</si>
  <si>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</si>
  <si>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</si>
  <si>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</si>
  <si>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</si>
  <si>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</si>
  <si>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</si>
  <si>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</si>
  <si>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</si>
  <si>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</si>
  <si>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</si>
  <si>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</si>
  <si>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</si>
  <si>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</si>
  <si>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</si>
  <si>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</si>
  <si>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</si>
  <si>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</si>
  <si>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</si>
  <si>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</si>
  <si>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</si>
  <si>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</si>
  <si>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</si>
  <si>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</si>
  <si>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</si>
  <si>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</si>
  <si>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</si>
  <si>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</si>
  <si>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</si>
  <si>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</si>
  <si>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</si>
  <si>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</si>
  <si>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</si>
  <si>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</si>
  <si>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</si>
  <si>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</si>
  <si>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</si>
  <si>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</si>
  <si>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</si>
  <si>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</si>
  <si>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</si>
  <si>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</si>
  <si>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</si>
  <si>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</si>
  <si>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</si>
  <si>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</si>
  <si>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</si>
  <si>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</si>
  <si>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</si>
  <si>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</si>
  <si>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</si>
  <si>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</si>
  <si>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</si>
  <si>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</si>
  <si>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</si>
  <si>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</si>
  <si>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</si>
  <si>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</si>
  <si>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</si>
  <si>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</si>
  <si>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</si>
  <si>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</si>
  <si>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</si>
  <si>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</si>
  <si>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</si>
  <si>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</si>
  <si>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</si>
  <si>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</si>
  <si>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</si>
  <si>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</si>
  <si>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</si>
  <si>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</si>
  <si>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</si>
  <si>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</si>
  <si>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</si>
  <si>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</si>
  <si>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</si>
  <si>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</si>
  <si>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</si>
  <si>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</si>
  <si>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</si>
  <si>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</si>
  <si>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</si>
  <si>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</si>
  <si>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</si>
  <si>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</si>
  <si>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</si>
  <si>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</si>
  <si>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</si>
  <si>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</si>
  <si>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</si>
  <si>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</si>
  <si>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</si>
  <si>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</si>
  <si>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</si>
  <si>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</si>
  <si>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</si>
  <si>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</si>
  <si>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</si>
  <si>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</si>
  <si>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</si>
  <si>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</si>
  <si>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</si>
  <si>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</si>
  <si>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</si>
  <si>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</si>
  <si>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</si>
  <si>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</si>
  <si>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</si>
  <si>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</si>
  <si>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</si>
  <si>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</si>
  <si>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</si>
  <si>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</si>
  <si>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</si>
  <si>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</si>
  <si>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</si>
  <si>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</si>
  <si>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</si>
  <si>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</si>
  <si>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</si>
  <si>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</si>
  <si>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</si>
  <si>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</si>
  <si>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</si>
  <si>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</si>
  <si>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</si>
  <si>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</si>
  <si>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</si>
  <si>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</si>
  <si>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</si>
  <si>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</si>
  <si>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</si>
  <si>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</si>
  <si>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</si>
  <si>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</si>
  <si>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</si>
  <si>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</si>
  <si>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</si>
  <si>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</si>
  <si>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</si>
  <si>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</si>
  <si>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</si>
  <si>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</si>
  <si>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</si>
  <si>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</si>
  <si>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</si>
  <si>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</si>
  <si>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</si>
  <si>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</si>
  <si>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</si>
  <si>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</si>
  <si>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</si>
  <si>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</si>
  <si>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</si>
  <si>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</si>
  <si>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</si>
  <si>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</si>
  <si>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</si>
  <si>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</si>
  <si>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</si>
  <si>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</si>
  <si>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</si>
  <si>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</si>
  <si>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</si>
  <si>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</si>
  <si>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</si>
  <si>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</si>
  <si>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</si>
  <si>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</si>
  <si>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</si>
  <si>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</si>
  <si>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</si>
  <si>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</si>
  <si>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</si>
  <si>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</si>
  <si>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</si>
  <si>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</si>
  <si>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</si>
  <si>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</si>
  <si>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</si>
  <si>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</si>
  <si>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</si>
  <si>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</si>
  <si>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</si>
  <si>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</si>
  <si>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</si>
  <si>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</si>
  <si>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</si>
  <si>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</si>
  <si>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</si>
  <si>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</si>
  <si>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</si>
  <si>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</si>
  <si>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</si>
  <si>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</si>
  <si>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</si>
  <si>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</si>
  <si>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</si>
  <si>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</si>
  <si>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</si>
  <si>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</si>
  <si>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</si>
  <si>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</si>
  <si>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</si>
  <si>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</si>
  <si>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</si>
  <si>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</si>
  <si>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</si>
  <si>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</si>
  <si>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</si>
  <si>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</si>
  <si>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</si>
  <si>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</si>
  <si>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</si>
  <si>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</si>
  <si>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</si>
  <si>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</si>
  <si>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</si>
  <si>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</si>
  <si>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</si>
  <si>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</si>
  <si>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</si>
  <si>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</si>
  <si>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</si>
  <si>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</si>
  <si>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</si>
  <si>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</si>
  <si>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</si>
  <si>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</si>
  <si>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</si>
  <si>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</si>
  <si>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</si>
  <si>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</si>
  <si>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</si>
  <si>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</si>
  <si>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</si>
  <si>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</si>
  <si>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</si>
  <si>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</si>
  <si>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</si>
  <si>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</si>
  <si>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</si>
  <si>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</si>
  <si>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</si>
  <si>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</si>
  <si>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</si>
  <si>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</si>
  <si>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</si>
  <si>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</si>
  <si>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</si>
  <si>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</si>
  <si>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</si>
  <si>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</si>
  <si>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</si>
  <si>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</si>
  <si>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</si>
  <si>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</si>
  <si>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</si>
  <si>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</si>
  <si>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</si>
  <si>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</si>
  <si>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</si>
  <si>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</si>
  <si>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</si>
  <si>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</si>
  <si>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</si>
  <si>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</si>
  <si>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</si>
  <si>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</si>
  <si>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</si>
  <si>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</si>
  <si>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</si>
  <si>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</si>
  <si>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</si>
  <si>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</si>
  <si>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</si>
  <si>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</si>
  <si>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</si>
  <si>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</si>
  <si>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</si>
  <si>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</si>
  <si>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</si>
  <si>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</si>
  <si>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</si>
  <si>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</si>
  <si>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</si>
  <si>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</si>
  <si>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</si>
  <si>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</si>
  <si>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</si>
  <si>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</si>
  <si>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</si>
  <si>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</si>
  <si>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</si>
  <si>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</si>
  <si>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</si>
  <si>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</si>
  <si>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</si>
  <si>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</si>
  <si>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</si>
  <si>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</si>
  <si>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</si>
  <si>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</si>
  <si>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</si>
  <si>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</si>
  <si>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</si>
  <si>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</si>
  <si>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</si>
  <si>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</si>
  <si>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</si>
  <si>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</si>
  <si>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</si>
  <si>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</si>
  <si>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</si>
  <si>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</si>
  <si>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</si>
  <si>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</si>
  <si>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</si>
  <si>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</si>
  <si>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</si>
  <si>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</si>
  <si>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</si>
  <si>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</si>
  <si>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</si>
  <si>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</si>
  <si>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</si>
  <si>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</si>
  <si>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</si>
  <si>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</si>
  <si>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</si>
  <si>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</si>
  <si>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</si>
  <si>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</si>
  <si>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</si>
  <si>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</si>
  <si>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</si>
  <si>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</si>
  <si>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</si>
  <si>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</si>
  <si>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</si>
  <si>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</si>
  <si>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</si>
  <si>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</si>
  <si>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</si>
  <si>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</si>
  <si>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</si>
  <si>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</si>
  <si>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</si>
  <si>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</si>
  <si>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</si>
  <si>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</si>
  <si>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</si>
  <si>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</si>
  <si>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</si>
  <si>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</si>
  <si>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</si>
  <si>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</si>
  <si>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</si>
  <si>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</si>
  <si>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</si>
  <si>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</si>
  <si>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</si>
  <si>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</si>
  <si>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</si>
  <si>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</si>
  <si>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</si>
  <si>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</si>
  <si>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</si>
  <si>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</si>
  <si>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</si>
  <si>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</si>
  <si>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</si>
  <si>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</si>
  <si>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</si>
  <si>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</si>
  <si>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</si>
  <si>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</si>
  <si>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</si>
  <si>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</si>
  <si>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</si>
  <si>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</si>
  <si>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</si>
  <si>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</si>
  <si>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</si>
  <si>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</si>
  <si>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</si>
  <si>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</si>
  <si>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</si>
  <si>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</si>
  <si>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</si>
  <si>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</si>
  <si>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</si>
  <si>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</si>
  <si>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</si>
  <si>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</si>
  <si>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</si>
  <si>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</si>
  <si>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</si>
  <si>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</si>
  <si>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</si>
  <si>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</si>
  <si>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</si>
  <si>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</si>
  <si>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</si>
  <si>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</si>
  <si>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</si>
  <si>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</si>
  <si>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</si>
  <si>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</si>
  <si>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</si>
  <si>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</si>
  <si>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</si>
  <si>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</si>
  <si>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</si>
  <si>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</si>
  <si>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</si>
  <si>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</si>
  <si>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</si>
  <si>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</si>
  <si>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</si>
  <si>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</si>
  <si>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</si>
  <si>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</si>
  <si>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</si>
  <si>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</si>
  <si>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</si>
  <si>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</si>
  <si>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</si>
  <si>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</si>
  <si>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</si>
  <si>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</si>
  <si>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</si>
  <si>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</si>
  <si>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</si>
  <si>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</si>
  <si>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</si>
  <si>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</si>
  <si>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</si>
  <si>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</si>
  <si>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</si>
  <si>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</si>
  <si>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</si>
  <si>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</si>
  <si>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</si>
  <si>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</si>
  <si>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</si>
  <si>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</si>
  <si>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</si>
  <si>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</si>
  <si>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</si>
  <si>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</si>
  <si>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</si>
  <si>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</si>
  <si>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</si>
  <si>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</si>
  <si>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</si>
  <si>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</si>
  <si>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</si>
  <si>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</si>
  <si>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</si>
  <si>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</si>
  <si>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</si>
  <si>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</si>
  <si>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</si>
  <si>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</si>
  <si>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</si>
  <si>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</si>
  <si>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</si>
  <si>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</si>
  <si>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</si>
  <si>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</si>
  <si>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</si>
  <si>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</si>
  <si>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</si>
  <si>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</si>
  <si>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</si>
  <si>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</si>
  <si>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</si>
  <si>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</si>
  <si>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</si>
  <si>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</si>
  <si>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</si>
  <si>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</si>
  <si>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</si>
  <si>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</si>
  <si>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</si>
  <si>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</si>
  <si>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</si>
  <si>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</si>
  <si>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</si>
  <si>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</si>
  <si>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</si>
  <si>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</si>
  <si>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</si>
  <si>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</si>
  <si>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</si>
  <si>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</si>
  <si>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</si>
  <si>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</si>
  <si>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</si>
  <si>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</si>
  <si>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</si>
  <si>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</si>
  <si>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</si>
  <si>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</si>
  <si>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</si>
  <si>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</si>
  <si>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</si>
  <si>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</si>
  <si>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</si>
  <si>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</si>
  <si>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</si>
  <si>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</si>
  <si>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</si>
  <si>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</si>
  <si>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</si>
  <si>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</si>
  <si>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</si>
  <si>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</si>
  <si>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</si>
  <si>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</si>
  <si>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</si>
  <si>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</si>
  <si>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</si>
  <si>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</si>
  <si>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</si>
  <si>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</si>
  <si>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</si>
  <si>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</si>
  <si>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</si>
  <si>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</si>
  <si>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</si>
  <si>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</si>
  <si>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</si>
  <si>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</si>
  <si>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</si>
  <si>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</si>
  <si>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</si>
  <si>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</si>
  <si>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</si>
  <si>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</si>
  <si>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</si>
  <si>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</si>
  <si>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</si>
  <si>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</si>
  <si>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</si>
  <si>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</si>
  <si>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</si>
  <si>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</si>
  <si>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</si>
  <si>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</si>
  <si>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</si>
  <si>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</si>
  <si>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</si>
  <si>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</si>
  <si>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</si>
  <si>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</si>
  <si>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</si>
  <si>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</si>
  <si>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</si>
  <si>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</si>
  <si>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</si>
  <si>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</si>
  <si>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</si>
  <si>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</si>
  <si>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</si>
  <si>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</si>
  <si>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</si>
  <si>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</si>
  <si>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</si>
  <si>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</si>
  <si>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</si>
  <si>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</si>
  <si>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</si>
  <si>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</si>
  <si>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</si>
  <si>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</si>
  <si>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</si>
  <si>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</si>
  <si>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</si>
  <si>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</si>
  <si>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</si>
  <si>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</si>
  <si>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</si>
  <si>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</si>
  <si>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</si>
  <si>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</si>
  <si>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</si>
  <si>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</si>
  <si>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</si>
  <si>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</si>
  <si>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</si>
  <si>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</si>
  <si>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</si>
  <si>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</si>
  <si>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</si>
  <si>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</si>
  <si>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</si>
  <si>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</si>
  <si>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</si>
  <si>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</si>
  <si>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</si>
  <si>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</si>
  <si>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</si>
  <si>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</si>
  <si>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</si>
  <si>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</si>
  <si>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</si>
  <si>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</si>
  <si>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</si>
  <si>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</si>
  <si>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</si>
  <si>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</si>
  <si>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</si>
  <si>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</si>
  <si>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</si>
  <si>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</si>
  <si>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</si>
  <si>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</si>
  <si>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</si>
  <si>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</si>
  <si>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</si>
  <si>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</si>
  <si>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</si>
  <si>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</si>
  <si>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</si>
  <si>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</si>
  <si>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</si>
  <si>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</si>
  <si>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</si>
  <si>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</si>
  <si>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</si>
  <si>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</si>
  <si>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</si>
  <si>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</si>
  <si>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</si>
  <si>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</si>
  <si>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</si>
  <si>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</si>
  <si>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</si>
  <si>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</si>
  <si>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</si>
  <si>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</si>
  <si>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</si>
  <si>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</si>
  <si>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</si>
  <si>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</si>
  <si>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</si>
  <si>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</si>
  <si>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</si>
  <si>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</si>
  <si>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</si>
  <si>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</si>
  <si>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</si>
  <si>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</si>
  <si>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</si>
  <si>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</si>
  <si>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</si>
  <si>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</si>
  <si>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</si>
  <si>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</si>
  <si>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</si>
  <si>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</si>
  <si>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</si>
  <si>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</si>
  <si>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</si>
  <si>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</si>
  <si>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</si>
  <si>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</si>
  <si>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</si>
  <si>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</si>
  <si>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</si>
  <si>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</si>
  <si>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</si>
  <si>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</si>
  <si>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</si>
  <si>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</si>
  <si>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</si>
  <si>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</si>
  <si>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</si>
  <si>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</si>
  <si>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</si>
  <si>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</si>
  <si>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</si>
  <si>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</si>
  <si>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</si>
  <si>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</si>
  <si>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</si>
  <si>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</si>
  <si>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</si>
  <si>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</si>
  <si>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</si>
  <si>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</si>
  <si>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</si>
  <si>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</si>
  <si>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</si>
  <si>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</si>
  <si>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</si>
  <si>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</si>
  <si>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</si>
  <si>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</si>
  <si>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</si>
  <si>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</si>
  <si>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</si>
  <si>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</si>
  <si>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</si>
  <si>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</si>
  <si>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</si>
  <si>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</si>
  <si>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</si>
  <si>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</si>
  <si>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</si>
  <si>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</si>
  <si>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</si>
  <si>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</si>
  <si>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</si>
  <si>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</si>
  <si>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</si>
  <si>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</si>
  <si>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</si>
  <si>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</si>
  <si>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</si>
  <si>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</si>
  <si>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</si>
  <si>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</si>
  <si>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</si>
  <si>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</si>
  <si>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</si>
  <si>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</si>
  <si>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</si>
  <si>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</si>
  <si>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</si>
  <si>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</si>
  <si>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</si>
  <si>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</si>
  <si>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</si>
  <si>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</si>
  <si>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</si>
  <si>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</si>
  <si>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</si>
  <si>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</si>
  <si>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</si>
  <si>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</si>
  <si>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</si>
  <si>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</si>
  <si>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</si>
  <si>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</si>
  <si>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</si>
  <si>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</si>
  <si>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</si>
  <si>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</si>
  <si>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</si>
  <si>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</si>
  <si>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</si>
  <si>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</si>
  <si>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</si>
  <si>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</si>
  <si>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</si>
  <si>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</si>
  <si>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</si>
  <si>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</si>
  <si>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</si>
  <si>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</si>
  <si>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</si>
  <si>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</si>
  <si>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</si>
  <si>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</si>
  <si>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</si>
  <si>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</si>
  <si>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</si>
  <si>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</si>
  <si>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</si>
  <si>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</si>
  <si>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</si>
  <si>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</si>
  <si>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</si>
  <si>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</si>
  <si>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</si>
  <si>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</si>
  <si>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</si>
  <si>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</si>
  <si>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</si>
  <si>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</si>
  <si>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</si>
  <si>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</si>
  <si>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</si>
  <si>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</si>
  <si>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</si>
  <si>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</si>
  <si>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</si>
  <si>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</si>
  <si>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</si>
  <si>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</si>
  <si>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</si>
  <si>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</si>
  <si>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</si>
  <si>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</si>
  <si>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</si>
  <si>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</si>
  <si>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</si>
  <si>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</si>
  <si>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</si>
  <si>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</si>
  <si>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</si>
  <si>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</si>
  <si>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</si>
  <si>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</si>
  <si>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</si>
  <si>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</si>
  <si>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</si>
  <si>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</si>
  <si>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</si>
  <si>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</si>
  <si>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</si>
  <si>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</si>
  <si>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</si>
  <si>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</si>
  <si>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</si>
  <si>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</si>
  <si>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</si>
  <si>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</si>
  <si>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</si>
  <si>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</si>
  <si>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</si>
  <si>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</si>
  <si>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</si>
  <si>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</si>
  <si>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</si>
  <si>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</si>
  <si>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</si>
  <si>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</si>
  <si>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</si>
  <si>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</si>
  <si>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</si>
  <si>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</si>
  <si>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</si>
  <si>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</si>
  <si>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</si>
  <si>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</si>
  <si>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</si>
  <si>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</si>
  <si>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</si>
  <si>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</si>
  <si>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</si>
  <si>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</si>
  <si>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</si>
  <si>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</si>
  <si>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</si>
  <si>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</si>
  <si>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</si>
  <si>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</si>
  <si>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</si>
  <si>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</si>
  <si>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</si>
  <si>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</si>
  <si>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</si>
  <si>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</si>
  <si>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</si>
  <si>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</si>
  <si>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</si>
  <si>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</si>
  <si>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</si>
  <si>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</si>
  <si>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</si>
  <si>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</si>
  <si>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</si>
  <si>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</si>
  <si>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</si>
  <si>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</si>
  <si>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</si>
  <si>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</si>
  <si>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</si>
  <si>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</si>
  <si>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</si>
  <si>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</si>
  <si>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</si>
  <si>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</si>
  <si>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</si>
  <si>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</si>
  <si>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</si>
  <si>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</si>
  <si>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</si>
  <si>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</si>
  <si>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</si>
  <si>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</si>
  <si>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</si>
  <si>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</si>
  <si>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</si>
  <si>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</si>
  <si>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</si>
  <si>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</si>
  <si>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</si>
  <si>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</si>
  <si>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</si>
  <si>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</si>
  <si>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</si>
  <si>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</si>
  <si>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</si>
  <si>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</si>
  <si>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</si>
  <si>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</si>
  <si>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</si>
  <si>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</si>
  <si>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</si>
  <si>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</si>
  <si>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</si>
  <si>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</si>
  <si>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</si>
  <si>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</si>
  <si>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</si>
  <si>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</si>
  <si>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</si>
  <si>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</si>
  <si>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</si>
  <si>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</si>
  <si>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</si>
  <si>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</si>
  <si>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</si>
  <si>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</si>
  <si>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</si>
  <si>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</si>
  <si>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</si>
  <si>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</si>
  <si>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</si>
  <si>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</si>
  <si>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</si>
  <si>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</si>
  <si>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</si>
  <si>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</si>
  <si>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</si>
  <si>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</si>
  <si>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</si>
  <si>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</si>
  <si>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</si>
  <si>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</si>
  <si>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</si>
  <si>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</si>
  <si>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</si>
  <si>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</si>
  <si>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</si>
  <si>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</si>
  <si>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</si>
  <si>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</si>
  <si>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</si>
  <si>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</si>
  <si>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</si>
  <si>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</si>
  <si>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</si>
  <si>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</si>
  <si>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</si>
  <si>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</si>
  <si>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</si>
  <si>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</si>
  <si>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</si>
  <si>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</si>
  <si>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</si>
  <si>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</si>
  <si>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</si>
  <si>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</si>
  <si>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</si>
  <si>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</si>
  <si>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</si>
  <si>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</si>
  <si>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</si>
  <si>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</si>
  <si>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</si>
  <si>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</si>
  <si>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</si>
  <si>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</si>
  <si>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</si>
  <si>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</si>
  <si>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</si>
  <si>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</si>
  <si>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</si>
  <si>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</si>
  <si>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</si>
  <si>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</si>
  <si>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</si>
  <si>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</si>
  <si>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</si>
  <si>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</si>
  <si>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</si>
  <si>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</si>
  <si>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</si>
  <si>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</si>
  <si>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</si>
  <si>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</si>
  <si>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</si>
  <si>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</si>
  <si>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</si>
  <si>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</si>
  <si>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</si>
  <si>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</si>
  <si>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</si>
  <si>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</si>
  <si>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</si>
  <si>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</si>
  <si>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</si>
  <si>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</si>
  <si>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</si>
  <si>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</si>
  <si>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</si>
  <si>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</si>
  <si>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</si>
  <si>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</si>
  <si>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</si>
  <si>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</si>
  <si>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</si>
  <si>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</si>
  <si>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</si>
  <si>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</si>
  <si>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</si>
  <si>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</si>
  <si>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</si>
  <si>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</si>
  <si>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</si>
  <si>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</si>
  <si>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</si>
  <si>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</si>
  <si>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</si>
  <si>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</si>
  <si>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</si>
  <si>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</si>
  <si>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</si>
  <si>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</si>
  <si>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</si>
  <si>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</si>
  <si>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</si>
  <si>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</si>
  <si>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</si>
  <si>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</si>
  <si>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</si>
  <si>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</si>
  <si>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</si>
  <si>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</si>
  <si>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</si>
  <si>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</si>
  <si>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</si>
  <si>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</si>
  <si>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</si>
  <si>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</si>
  <si>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</si>
  <si>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</si>
  <si>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</si>
  <si>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</si>
  <si>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</si>
  <si>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</si>
  <si>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</si>
  <si>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</si>
  <si>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</si>
  <si>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</si>
  <si>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</si>
  <si>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</si>
  <si>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</si>
  <si>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</si>
  <si>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</si>
  <si>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</si>
  <si>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</si>
  <si>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</si>
  <si>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</si>
  <si>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</si>
  <si>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</si>
  <si>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</si>
  <si>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</si>
  <si>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</si>
  <si>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</si>
  <si>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</si>
  <si>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</si>
  <si>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</si>
  <si>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</si>
  <si>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</si>
  <si>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</si>
  <si>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</si>
  <si>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</si>
  <si>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</si>
  <si>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</si>
  <si>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</si>
  <si>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</si>
  <si>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</si>
  <si>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</si>
  <si>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</si>
  <si>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</si>
  <si>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</si>
  <si>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</si>
  <si>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</si>
  <si>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</si>
  <si>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</si>
  <si>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</si>
  <si>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</si>
  <si>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</si>
  <si>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</si>
  <si>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</si>
  <si>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</si>
  <si>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</si>
  <si>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</si>
  <si>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</si>
  <si>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</si>
  <si>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</si>
  <si>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</si>
  <si>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</si>
  <si>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</si>
  <si>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</si>
  <si>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</si>
  <si>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</si>
  <si>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</si>
  <si>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</si>
  <si>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</si>
  <si>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</si>
  <si>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</si>
  <si>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</si>
  <si>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</si>
  <si>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</si>
  <si>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</si>
  <si>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</si>
  <si>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</si>
  <si>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</si>
  <si>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</si>
  <si>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</si>
  <si>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</si>
  <si>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</si>
  <si>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</si>
  <si>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</si>
  <si>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</si>
  <si>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</si>
  <si>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</si>
  <si>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</si>
  <si>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</si>
  <si>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</si>
  <si>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</si>
  <si>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</si>
  <si>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</si>
  <si>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</si>
  <si>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</si>
  <si>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</si>
  <si>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</si>
  <si>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</si>
  <si>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</si>
  <si>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</si>
  <si>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</si>
  <si>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</si>
  <si>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</si>
  <si>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</si>
  <si>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</si>
  <si>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</si>
  <si>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</si>
  <si>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</si>
  <si>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</si>
  <si>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</si>
  <si>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</si>
  <si>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</si>
  <si>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</si>
  <si>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</si>
  <si>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</si>
  <si>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</si>
  <si>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</si>
  <si>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</si>
  <si>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</si>
  <si>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</si>
  <si>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</si>
  <si>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</si>
  <si>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</si>
  <si>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</si>
  <si>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</si>
  <si>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</si>
  <si>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</si>
  <si>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</si>
  <si>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</si>
  <si>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</si>
  <si>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</si>
  <si>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</si>
  <si>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</si>
  <si>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</si>
  <si>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</si>
  <si>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</si>
  <si>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</si>
  <si>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</si>
  <si>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</si>
  <si>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</si>
  <si>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</si>
  <si>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</si>
  <si>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</si>
  <si>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</si>
  <si>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</si>
  <si>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</si>
  <si>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</si>
  <si>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</si>
  <si>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</si>
  <si>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</si>
  <si>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</si>
  <si>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</si>
  <si>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</si>
  <si>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</si>
  <si>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</si>
  <si>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</si>
  <si>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</si>
  <si>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</si>
  <si>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</si>
  <si>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</si>
  <si>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</si>
  <si>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</si>
  <si>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</si>
  <si>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</si>
  <si>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</si>
  <si>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</si>
  <si>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</si>
  <si>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</si>
  <si>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</si>
  <si>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</si>
  <si>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</si>
  <si>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</si>
  <si>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</si>
  <si>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</si>
  <si>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</si>
  <si>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</si>
  <si>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</si>
  <si>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</si>
  <si>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</si>
  <si>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</si>
  <si>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</si>
  <si>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</si>
  <si>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</si>
  <si>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</si>
  <si>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</si>
  <si>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</si>
  <si>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</si>
  <si>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</si>
  <si>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</si>
  <si>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</si>
  <si>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</si>
  <si>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</si>
  <si>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</si>
  <si>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</si>
  <si>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</si>
  <si>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</si>
  <si>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</si>
  <si>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</si>
  <si>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</si>
  <si>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</si>
  <si>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</si>
  <si>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</si>
  <si>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</si>
  <si>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</si>
  <si>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</si>
  <si>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</si>
  <si>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</si>
  <si>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</si>
  <si>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</si>
  <si>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</si>
  <si>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</si>
  <si>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</si>
  <si>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</si>
  <si>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</si>
  <si>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</si>
  <si>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</si>
  <si>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</si>
  <si>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</si>
  <si>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</si>
  <si>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</si>
  <si>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</si>
  <si>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</si>
  <si>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</si>
  <si>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</si>
  <si>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</si>
  <si>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</si>
  <si>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</si>
  <si>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</si>
  <si>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</si>
  <si>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</si>
  <si>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</si>
  <si>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</si>
  <si>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</si>
  <si>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</si>
  <si>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</si>
  <si>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</si>
  <si>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</si>
  <si>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</si>
  <si>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</si>
  <si>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</si>
  <si>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</si>
  <si>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</si>
  <si>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</si>
  <si>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</si>
  <si>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</si>
  <si>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</si>
  <si>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</si>
  <si>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</si>
  <si>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</si>
  <si>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</si>
  <si>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</si>
  <si>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</si>
  <si>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</si>
  <si>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</si>
  <si>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</si>
  <si>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</si>
  <si>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</si>
  <si>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</si>
  <si>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</si>
  <si>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</si>
  <si>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</si>
  <si>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</si>
  <si>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</si>
  <si>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</si>
  <si>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</si>
  <si>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</si>
  <si>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</si>
  <si>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</si>
  <si>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</si>
  <si>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</si>
  <si>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</si>
  <si>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</si>
  <si>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</si>
  <si>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</si>
  <si>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</si>
  <si>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</si>
  <si>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</si>
  <si>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</si>
  <si>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</si>
  <si>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</si>
  <si>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</si>
  <si>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</si>
  <si>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</si>
  <si>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</si>
  <si>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</si>
  <si>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</si>
  <si>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</si>
  <si>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</si>
  <si>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</si>
  <si>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</si>
  <si>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</si>
  <si>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</si>
  <si>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</si>
  <si>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</si>
  <si>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</si>
  <si>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</si>
  <si>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</si>
  <si>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</si>
  <si>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</si>
  <si>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</si>
  <si>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</si>
  <si>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</si>
  <si>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</si>
  <si>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</si>
  <si>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</si>
  <si>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</si>
  <si>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</si>
  <si>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</si>
  <si>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</si>
  <si>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</si>
  <si>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</si>
  <si>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</si>
  <si>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</si>
  <si>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</si>
  <si>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</si>
  <si>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</si>
  <si>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</si>
  <si>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</si>
  <si>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</si>
  <si>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</si>
  <si>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</si>
  <si>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</si>
  <si>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</si>
  <si>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</si>
  <si>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</si>
  <si>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</si>
  <si>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</si>
  <si>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</si>
  <si>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</si>
  <si>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</si>
  <si>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</si>
  <si>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</si>
  <si>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</si>
  <si>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</si>
  <si>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</si>
  <si>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</si>
  <si>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</si>
  <si>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</si>
  <si>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</si>
  <si>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</si>
  <si>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</si>
  <si>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</si>
  <si>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</si>
  <si>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</si>
  <si>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</si>
  <si>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</si>
  <si>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</si>
  <si>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</si>
  <si>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</si>
  <si>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</si>
  <si>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</si>
  <si>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</si>
  <si>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</si>
  <si>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</si>
  <si>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</si>
  <si>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</si>
  <si>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</si>
  <si>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</si>
  <si>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</si>
  <si>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</si>
  <si>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</si>
  <si>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</si>
  <si>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</si>
  <si>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</si>
  <si>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</si>
  <si>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</si>
  <si>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</si>
  <si>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</si>
  <si>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</si>
  <si>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</si>
  <si>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</si>
  <si>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</si>
  <si>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</si>
  <si>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</si>
  <si>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</si>
  <si>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</si>
  <si>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</si>
  <si>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</si>
  <si>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</si>
  <si>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</si>
  <si>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</si>
  <si>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</si>
  <si>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</si>
  <si>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</si>
  <si>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</si>
  <si>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</si>
  <si>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</si>
  <si>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</si>
  <si>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</si>
  <si>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</si>
  <si>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</si>
  <si>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</si>
  <si>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</si>
  <si>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</si>
  <si>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</si>
  <si>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</si>
  <si>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</si>
  <si>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</si>
  <si>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</si>
  <si>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</si>
  <si>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</si>
  <si>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</si>
  <si>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</si>
  <si>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</si>
  <si>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</si>
  <si>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</si>
  <si>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</si>
  <si>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</si>
  <si>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</si>
  <si>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</si>
  <si>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</si>
  <si>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</si>
  <si>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</si>
  <si>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</si>
  <si>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</si>
  <si>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</si>
  <si>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</si>
  <si>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</si>
  <si>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</si>
  <si>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</si>
  <si>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</si>
  <si>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</si>
  <si>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</si>
  <si>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</si>
  <si>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</si>
  <si>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</si>
  <si>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</si>
  <si>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</si>
  <si>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</si>
  <si>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</si>
  <si>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</si>
  <si>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</si>
  <si>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</si>
  <si>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</si>
  <si>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</si>
  <si>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</si>
  <si>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</si>
  <si>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</si>
  <si>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</si>
  <si>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</si>
  <si>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</si>
  <si>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</si>
  <si>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</si>
  <si>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</si>
  <si>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</si>
  <si>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</si>
  <si>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</si>
  <si>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</si>
  <si>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</si>
  <si>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</si>
  <si>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</si>
  <si>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</si>
  <si>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</si>
  <si>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</si>
  <si>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</si>
  <si>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</si>
  <si>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</si>
  <si>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</si>
  <si>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</si>
  <si>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</si>
  <si>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</si>
  <si>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</si>
  <si>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</si>
  <si>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</si>
  <si>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</si>
  <si>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</si>
  <si>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</si>
  <si>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</si>
  <si>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</si>
  <si>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</si>
  <si>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</si>
  <si>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</si>
  <si>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</si>
  <si>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</si>
  <si>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</si>
  <si>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</si>
  <si>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</si>
  <si>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</si>
  <si>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</si>
  <si>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</si>
  <si>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</si>
  <si>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</si>
  <si>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</si>
  <si>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</si>
  <si>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</si>
  <si>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</si>
  <si>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</si>
  <si>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</si>
  <si>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</si>
  <si>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</si>
  <si>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</si>
  <si>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</si>
  <si>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</si>
  <si>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</si>
  <si>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</si>
  <si>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</si>
  <si>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</si>
  <si>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</si>
  <si>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</si>
  <si>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</si>
  <si>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</si>
  <si>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</si>
  <si>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</si>
  <si>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</si>
  <si>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</si>
  <si>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</si>
  <si>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</si>
  <si>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</si>
  <si>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</si>
  <si>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</si>
  <si>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</si>
  <si>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</si>
  <si>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</si>
  <si>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</si>
  <si>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</si>
  <si>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</si>
  <si>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</si>
  <si>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</si>
  <si>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</si>
  <si>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</si>
  <si>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</si>
  <si>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</si>
  <si>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</si>
  <si>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</si>
  <si>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</si>
  <si>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</si>
  <si>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</si>
  <si>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</si>
  <si>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</si>
  <si>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</si>
  <si>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</si>
  <si>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</si>
  <si>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</si>
  <si>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</si>
  <si>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</si>
  <si>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</si>
  <si>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</si>
  <si>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</si>
  <si>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</si>
  <si>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</si>
  <si>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</si>
  <si>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</si>
  <si>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</si>
  <si>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</si>
  <si>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</si>
  <si>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</si>
  <si>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</si>
  <si>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</si>
  <si>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</si>
  <si>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</si>
  <si>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</si>
  <si>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</si>
  <si>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</si>
  <si>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</si>
  <si>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</si>
  <si>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</si>
  <si>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</si>
  <si>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</si>
  <si>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</si>
  <si>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</si>
  <si>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</si>
  <si>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</si>
  <si>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</si>
  <si>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</si>
  <si>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</si>
  <si>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</si>
  <si>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</si>
  <si>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</si>
  <si>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</si>
  <si>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</si>
  <si>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</si>
  <si>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</si>
  <si>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</si>
  <si>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</si>
  <si>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</si>
  <si>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</si>
  <si>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</si>
  <si>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</si>
  <si>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</si>
  <si>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</si>
  <si>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</si>
  <si>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</si>
  <si>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</si>
  <si>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</si>
  <si>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</si>
  <si>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</si>
  <si>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</si>
  <si>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</si>
  <si>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</si>
  <si>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</si>
  <si>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</si>
  <si>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</si>
  <si>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</si>
  <si>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</si>
  <si>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</si>
  <si>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</si>
  <si>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</si>
  <si>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</si>
  <si>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</si>
  <si>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</si>
  <si>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</si>
  <si>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</si>
  <si>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</si>
  <si>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</si>
  <si>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</si>
  <si>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</si>
  <si>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</si>
  <si>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</si>
  <si>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</si>
  <si>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</si>
  <si>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</si>
  <si>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</si>
  <si>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</si>
  <si>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</si>
  <si>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</si>
  <si>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</si>
  <si>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</si>
  <si>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</si>
  <si>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</si>
  <si>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</si>
  <si>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</si>
  <si>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</si>
  <si>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</si>
  <si>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</si>
  <si>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</si>
  <si>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</si>
  <si>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</si>
  <si>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</si>
  <si>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</si>
  <si>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</si>
  <si>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</si>
  <si>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</si>
  <si>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</si>
  <si>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</si>
  <si>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</si>
  <si>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</si>
  <si>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</si>
  <si>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</si>
  <si>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</si>
  <si>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</si>
  <si>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</si>
  <si>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</si>
  <si>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</si>
  <si>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</si>
  <si>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</si>
  <si>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</si>
  <si>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</si>
  <si>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</si>
  <si>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</si>
  <si>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</si>
  <si>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</si>
  <si>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</si>
  <si>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</si>
  <si>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</si>
  <si>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</si>
  <si>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</si>
  <si>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</si>
  <si>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</si>
  <si>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</si>
  <si>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</si>
  <si>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</si>
  <si>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</si>
  <si>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</si>
  <si>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</si>
  <si>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</si>
  <si>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</si>
  <si>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</si>
  <si>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</si>
  <si>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</si>
  <si>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</si>
  <si>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</si>
  <si>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</si>
  <si>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</si>
  <si>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</si>
  <si>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</si>
  <si>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</si>
  <si>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</si>
  <si>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</si>
  <si>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</si>
  <si>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</si>
  <si>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</si>
  <si>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</si>
  <si>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</si>
  <si>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</si>
  <si>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</si>
  <si>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</si>
  <si>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</si>
  <si>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</si>
  <si>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</si>
  <si>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</si>
  <si>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</si>
  <si>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</si>
  <si>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</si>
  <si>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</si>
  <si>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</si>
  <si>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</si>
  <si>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</si>
  <si>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</si>
  <si>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</si>
  <si>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</si>
  <si>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</si>
  <si>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</si>
  <si>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</si>
  <si>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</si>
  <si>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</si>
  <si>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</si>
  <si>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</si>
  <si>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</si>
  <si>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</si>
  <si>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</si>
  <si>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</si>
  <si>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</si>
  <si>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</si>
  <si>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</si>
  <si>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</si>
  <si>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</si>
  <si>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</si>
  <si>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</si>
  <si>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</si>
  <si>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</si>
  <si>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</si>
  <si>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</si>
  <si>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</si>
  <si>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</si>
  <si>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</si>
  <si>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</si>
  <si>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</si>
  <si>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</si>
  <si>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</si>
  <si>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</si>
  <si>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</si>
  <si>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</si>
  <si>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</si>
  <si>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</si>
  <si>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</si>
  <si>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</si>
  <si>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</si>
  <si>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</si>
  <si>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</si>
  <si>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</si>
  <si>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</si>
  <si>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</si>
  <si>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</si>
  <si>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</si>
  <si>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</si>
  <si>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</si>
  <si>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</si>
  <si>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</si>
  <si>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</si>
  <si>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</si>
  <si>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</si>
  <si>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</si>
  <si>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</si>
  <si>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</si>
  <si>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</si>
  <si>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</si>
  <si>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</si>
  <si>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</si>
  <si>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</si>
  <si>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</si>
  <si>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</si>
  <si>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</si>
  <si>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</si>
  <si>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</si>
  <si>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</si>
  <si>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</si>
  <si>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</si>
  <si>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</si>
  <si>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</si>
  <si>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</si>
  <si>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</si>
  <si>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</si>
  <si>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</si>
  <si>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</si>
  <si>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</si>
  <si>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</si>
  <si>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</si>
  <si>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</si>
  <si>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</si>
  <si>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</si>
  <si>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</si>
  <si>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</si>
  <si>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</si>
  <si>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</si>
  <si>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</si>
  <si>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</si>
  <si>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</si>
  <si>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</si>
  <si>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</si>
  <si>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</si>
  <si>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</si>
  <si>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</si>
  <si>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</si>
  <si>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</si>
  <si>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</si>
  <si>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</si>
  <si>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</si>
  <si>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</si>
  <si>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</si>
  <si>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</si>
  <si>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</si>
  <si>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</si>
  <si>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</si>
  <si>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</si>
  <si>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</si>
  <si>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</si>
  <si>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</si>
  <si>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</si>
  <si>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</si>
  <si>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</si>
  <si>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</si>
  <si>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</si>
  <si>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</si>
  <si>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</si>
  <si>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</si>
  <si>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</si>
  <si>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</si>
  <si>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</si>
  <si>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</si>
  <si>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</si>
  <si>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</si>
  <si>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</si>
  <si>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</si>
  <si>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</si>
  <si>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</si>
  <si>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</si>
  <si>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</si>
  <si>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</si>
  <si>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</si>
  <si>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</si>
  <si>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</si>
  <si>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</si>
  <si>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</si>
  <si>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</si>
  <si>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</si>
  <si>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</si>
  <si>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</si>
  <si>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</si>
  <si>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</si>
  <si>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</si>
  <si>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</si>
  <si>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</si>
  <si>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</si>
  <si>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</si>
  <si>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</si>
  <si>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</si>
  <si>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</si>
  <si>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</si>
  <si>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</si>
  <si>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</si>
  <si>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</si>
  <si>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</si>
  <si>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</si>
  <si>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</si>
  <si>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</si>
  <si>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</si>
  <si>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</si>
  <si>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</si>
  <si>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</si>
  <si>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</si>
  <si>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</si>
  <si>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</si>
  <si>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</si>
  <si>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</si>
  <si>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</si>
  <si>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</si>
  <si>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</si>
  <si>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</si>
  <si>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</si>
  <si>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</si>
  <si>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</si>
  <si>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</si>
  <si>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</si>
  <si>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</si>
  <si>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</si>
  <si>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</si>
  <si>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</si>
  <si>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</si>
  <si>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</si>
  <si>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</si>
  <si>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</si>
  <si>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</si>
  <si>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</si>
  <si>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</si>
  <si>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</si>
  <si>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</si>
  <si>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</si>
  <si>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</si>
  <si>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</si>
  <si>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</si>
  <si>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</si>
  <si>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</si>
  <si>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</si>
  <si>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</si>
  <si>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</si>
  <si>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</si>
  <si>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</si>
  <si>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</si>
  <si>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</si>
  <si>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</si>
  <si>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</si>
  <si>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</si>
  <si>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</si>
  <si>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</si>
  <si>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</si>
  <si>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</si>
  <si>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</si>
  <si>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</si>
  <si>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</si>
  <si>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</si>
  <si>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</si>
  <si>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</si>
  <si>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</si>
  <si>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</si>
  <si>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</si>
  <si>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</si>
  <si>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</si>
  <si>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</si>
  <si>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</si>
  <si>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</si>
  <si>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</si>
  <si>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</si>
  <si>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</si>
  <si>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</si>
  <si>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</si>
  <si>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</si>
  <si>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</si>
  <si>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</si>
  <si>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</si>
  <si>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</si>
  <si>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</si>
  <si>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</si>
  <si>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</si>
  <si>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</si>
  <si>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</si>
  <si>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</si>
  <si>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</si>
  <si>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</si>
  <si>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</si>
  <si>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</si>
  <si>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</si>
  <si>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</si>
  <si>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</si>
  <si>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</si>
  <si>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</si>
  <si>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</si>
  <si>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</si>
  <si>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</si>
  <si>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</si>
  <si>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</si>
  <si>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</si>
  <si>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</si>
  <si>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</si>
  <si>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</si>
  <si>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</si>
  <si>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</si>
  <si>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</si>
  <si>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</si>
  <si>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</si>
  <si>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</si>
  <si>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</si>
  <si>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</si>
  <si>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</si>
  <si>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</si>
  <si>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</si>
  <si>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</si>
  <si>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</si>
  <si>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</si>
  <si>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</si>
  <si>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</si>
  <si>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</si>
  <si>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</si>
  <si>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</si>
  <si>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</si>
  <si>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</si>
  <si>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</si>
  <si>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</si>
  <si>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</si>
  <si>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</si>
  <si>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</si>
  <si>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</si>
  <si>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</si>
  <si>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</si>
  <si>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</si>
  <si>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</si>
  <si>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</si>
  <si>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</si>
  <si>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</si>
  <si>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</si>
  <si>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</si>
  <si>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</si>
  <si>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</si>
  <si>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</si>
  <si>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</si>
  <si>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</si>
  <si>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</si>
  <si>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</si>
  <si>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</si>
  <si>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</si>
  <si>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</si>
  <si>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</si>
  <si>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</si>
  <si>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</si>
  <si>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</si>
  <si>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</si>
  <si>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</si>
  <si>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</si>
  <si>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</si>
  <si>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</si>
  <si>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</si>
  <si>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</si>
  <si>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</si>
  <si>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</si>
  <si>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</si>
  <si>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</si>
  <si>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</si>
  <si>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</si>
  <si>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</si>
  <si>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</si>
  <si>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</si>
  <si>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</si>
  <si>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</si>
  <si>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</si>
  <si>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</si>
  <si>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</si>
  <si>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</si>
  <si>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</si>
  <si>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</si>
  <si>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</si>
  <si>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</si>
  <si>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</si>
  <si>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</si>
  <si>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</si>
  <si>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</si>
  <si>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</si>
  <si>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</si>
  <si>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</si>
  <si>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</si>
  <si>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</si>
  <si>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</si>
  <si>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</si>
  <si>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</si>
  <si>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</si>
  <si>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</si>
  <si>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</si>
  <si>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</si>
  <si>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</si>
  <si>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</si>
  <si>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</si>
  <si>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</si>
  <si>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</si>
  <si>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</si>
  <si>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</si>
  <si>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</si>
  <si>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</si>
  <si>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</si>
  <si>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</si>
  <si>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</si>
  <si>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</si>
  <si>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</si>
  <si>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</si>
  <si>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</si>
  <si>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</si>
  <si>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</si>
  <si>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</si>
  <si>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</si>
  <si>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</si>
  <si>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</si>
  <si>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</si>
  <si>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</si>
  <si>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</si>
  <si>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</si>
  <si>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</si>
  <si>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</si>
  <si>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</si>
  <si>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</si>
  <si>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</si>
  <si>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</si>
  <si>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</si>
  <si>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</si>
  <si>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</si>
  <si>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</si>
  <si>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</si>
  <si>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</si>
  <si>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</si>
  <si>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</si>
  <si>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</si>
  <si>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</si>
  <si>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</si>
  <si>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</si>
  <si>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</si>
  <si>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</si>
  <si>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</si>
  <si>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</si>
  <si>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</si>
  <si>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</si>
  <si>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</si>
  <si>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</si>
  <si>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</si>
  <si>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</si>
  <si>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</si>
  <si>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</si>
  <si>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</si>
  <si>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</si>
  <si>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</si>
  <si>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</si>
  <si>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</si>
  <si>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</si>
  <si>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</si>
  <si>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</si>
  <si>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</si>
  <si>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</si>
  <si>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</si>
  <si>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</si>
  <si>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</si>
  <si>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</si>
  <si>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</si>
  <si>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</si>
  <si>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</si>
  <si>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</si>
  <si>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</si>
  <si>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</si>
  <si>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</si>
  <si>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</si>
  <si>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</si>
  <si>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</si>
  <si>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</si>
  <si>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</si>
  <si>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</si>
  <si>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</si>
  <si>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</si>
  <si>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</si>
  <si>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</si>
  <si>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</si>
  <si>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</si>
  <si>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</si>
  <si>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</si>
  <si>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</si>
  <si>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</si>
  <si>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</si>
  <si>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</si>
  <si>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</si>
  <si>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</si>
  <si>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</si>
  <si>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</si>
  <si>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</si>
  <si>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</si>
  <si>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</si>
  <si>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</si>
  <si>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</si>
  <si>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</si>
  <si>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</si>
  <si>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</si>
  <si>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</si>
  <si>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</si>
  <si>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</si>
  <si>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</si>
  <si>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</si>
  <si>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</si>
  <si>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</si>
  <si>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</si>
  <si>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</si>
  <si>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</si>
  <si>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</si>
  <si>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</si>
  <si>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</si>
  <si>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</si>
  <si>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</si>
  <si>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</si>
  <si>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</si>
  <si>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</si>
  <si>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</si>
  <si>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</si>
  <si>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</si>
  <si>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</si>
  <si>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</si>
  <si>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</si>
  <si>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</si>
  <si>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</si>
  <si>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</si>
  <si>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</si>
  <si>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</si>
  <si>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</si>
  <si>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</si>
  <si>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</si>
  <si>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</si>
  <si>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</si>
  <si>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</si>
  <si>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</si>
  <si>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</si>
  <si>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</si>
  <si>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</si>
  <si>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</si>
  <si>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</si>
  <si>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</si>
  <si>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</si>
  <si>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</si>
  <si>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</si>
  <si>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</si>
  <si>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</si>
  <si>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</si>
  <si>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</si>
  <si>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</si>
  <si>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</si>
  <si>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</si>
  <si>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</si>
  <si>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</si>
  <si>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</si>
  <si>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</si>
  <si>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</si>
  <si>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</si>
  <si>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</si>
  <si>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</si>
  <si>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</si>
  <si>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</si>
  <si>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</si>
  <si>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</si>
  <si>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</si>
  <si>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</si>
  <si>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</si>
  <si>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</si>
  <si>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</si>
  <si>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</si>
  <si>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</si>
  <si>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</si>
  <si>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</si>
  <si>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</si>
  <si>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</si>
  <si>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</si>
  <si>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</si>
  <si>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</si>
  <si>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</si>
  <si>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</si>
  <si>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</si>
  <si>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</si>
  <si>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</si>
  <si>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</si>
  <si>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</si>
  <si>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</si>
  <si>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</si>
  <si>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</si>
  <si>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</si>
  <si>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</si>
  <si>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</si>
  <si>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</si>
  <si>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</si>
  <si>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</si>
  <si>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</si>
  <si>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</si>
  <si>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</si>
  <si>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</si>
  <si>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</si>
  <si>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</si>
  <si>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</si>
  <si>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</si>
  <si>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</si>
  <si>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</si>
  <si>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</si>
  <si>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</si>
  <si>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</si>
  <si>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</si>
  <si>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</si>
  <si>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</si>
  <si>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</si>
  <si>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</si>
  <si>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</si>
  <si>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</si>
  <si>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</si>
  <si>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</si>
  <si>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</si>
  <si>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</si>
  <si>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</si>
  <si>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</si>
  <si>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</si>
  <si>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</si>
  <si>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</si>
  <si>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</si>
  <si>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</si>
  <si>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</si>
  <si>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</si>
  <si>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</si>
  <si>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</si>
  <si>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</si>
  <si>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</si>
  <si>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</si>
  <si>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</si>
  <si>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</si>
  <si>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</si>
  <si>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</si>
  <si>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</si>
  <si>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</si>
  <si>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</si>
  <si>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</si>
  <si>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</si>
  <si>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</si>
  <si>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</si>
  <si>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</si>
  <si>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</si>
  <si>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</si>
  <si>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</si>
  <si>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</si>
  <si>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</si>
  <si>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</si>
  <si>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</si>
  <si>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</si>
  <si>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</si>
  <si>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</si>
  <si>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</si>
  <si>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</si>
  <si>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</si>
  <si>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</si>
  <si>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</si>
  <si>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</si>
  <si>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</si>
  <si>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</si>
  <si>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</si>
  <si>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</si>
  <si>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</si>
  <si>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</si>
  <si>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</si>
  <si>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</si>
  <si>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</si>
  <si>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</si>
  <si>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</si>
  <si>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</si>
  <si>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</si>
  <si>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</si>
  <si>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</si>
  <si>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</si>
  <si>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</si>
  <si>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</si>
  <si>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</si>
  <si>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</si>
  <si>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</si>
  <si>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</si>
  <si>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</si>
  <si>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</si>
  <si>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</si>
  <si>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</si>
  <si>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</si>
  <si>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</si>
  <si>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</si>
  <si>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</si>
  <si>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</si>
  <si>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</si>
  <si>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</si>
  <si>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</si>
  <si>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</si>
  <si>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</si>
  <si>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</si>
  <si>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</si>
  <si>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</si>
  <si>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</si>
  <si>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</si>
  <si>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</si>
  <si>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</si>
  <si>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</si>
  <si>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</si>
  <si>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</si>
  <si>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</si>
  <si>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</si>
  <si>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</si>
  <si>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</si>
  <si>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</si>
  <si>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</si>
  <si>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</si>
  <si>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</si>
  <si>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</si>
  <si>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</si>
  <si>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</si>
  <si>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</si>
  <si>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</si>
  <si>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</si>
  <si>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</si>
  <si>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</si>
  <si>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</si>
  <si>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</si>
  <si>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</si>
  <si>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</si>
  <si>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</si>
  <si>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</si>
  <si>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</si>
  <si>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</si>
  <si>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</si>
  <si>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</si>
  <si>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</si>
  <si>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</si>
  <si>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</si>
  <si>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</si>
  <si>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</si>
  <si>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</si>
  <si>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</si>
  <si>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</si>
  <si>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</si>
  <si>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</si>
  <si>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</si>
  <si>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</si>
  <si>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</si>
  <si>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</si>
  <si>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</si>
  <si>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</si>
  <si>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</si>
  <si>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</si>
  <si>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</si>
  <si>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</si>
  <si>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</si>
  <si>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</si>
  <si>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</si>
  <si>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</si>
  <si>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</si>
  <si>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</si>
  <si>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</si>
  <si>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</si>
  <si>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</si>
  <si>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</si>
  <si>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</si>
  <si>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</si>
  <si>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</si>
  <si>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</si>
  <si>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</si>
  <si>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</si>
  <si>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</si>
  <si>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</si>
  <si>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</si>
  <si>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</si>
  <si>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</si>
  <si>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</si>
  <si>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</si>
  <si>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</si>
  <si>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</si>
  <si>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</si>
  <si>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</si>
  <si>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</si>
  <si>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</si>
  <si>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</si>
  <si>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</si>
  <si>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</si>
  <si>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</si>
  <si>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</si>
  <si>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</si>
  <si>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</si>
  <si>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</si>
  <si>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</si>
  <si>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</si>
  <si>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</si>
  <si>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</si>
  <si>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</si>
  <si>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</si>
  <si>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</si>
  <si>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</si>
  <si>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</si>
  <si>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</si>
  <si>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</si>
  <si>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</si>
  <si>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</si>
  <si>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</si>
  <si>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</si>
  <si>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</si>
  <si>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</si>
  <si>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</si>
  <si>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</si>
  <si>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</si>
  <si>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</si>
  <si>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</si>
  <si>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</si>
  <si>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</si>
  <si>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</si>
  <si>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</si>
  <si>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</si>
  <si>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</si>
  <si>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</si>
  <si>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</si>
  <si>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</si>
  <si>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</si>
  <si>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</si>
  <si>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</si>
  <si>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</si>
  <si>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</si>
  <si>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</si>
  <si>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</si>
  <si>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</si>
  <si>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</si>
  <si>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</si>
  <si>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</si>
  <si>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</si>
  <si>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</si>
  <si>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</si>
  <si>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</si>
  <si>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</si>
  <si>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</si>
  <si>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</si>
  <si>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</si>
  <si>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</si>
  <si>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</si>
  <si>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</si>
  <si>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</si>
  <si>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</si>
  <si>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</si>
  <si>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</si>
  <si>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</si>
  <si>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</si>
  <si>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</si>
  <si>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</si>
  <si>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</si>
  <si>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</si>
  <si>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</si>
  <si>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</si>
  <si>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</si>
  <si>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</si>
  <si>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</si>
  <si>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</si>
  <si>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</si>
  <si>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</si>
  <si>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</si>
  <si>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</si>
  <si>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</si>
  <si>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</si>
  <si>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</si>
  <si>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</si>
  <si>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</si>
  <si>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</si>
  <si>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</si>
  <si>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</si>
  <si>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</si>
  <si>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</si>
  <si>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</si>
  <si>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</si>
  <si>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</si>
  <si>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</si>
  <si>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</si>
  <si>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</si>
  <si>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</si>
  <si>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</si>
  <si>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</si>
  <si>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</si>
  <si>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</si>
  <si>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</si>
  <si>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</si>
  <si>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</si>
  <si>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</si>
  <si>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</si>
  <si>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</si>
  <si>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</si>
  <si>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</si>
  <si>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</si>
  <si>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</si>
  <si>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</si>
  <si>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</si>
  <si>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</si>
  <si>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</si>
  <si>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</si>
  <si>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</si>
  <si>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</si>
  <si>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</si>
  <si>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</si>
  <si>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</si>
  <si>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</si>
  <si>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</si>
  <si>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</si>
  <si>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</si>
  <si>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</si>
  <si>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</si>
  <si>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</si>
  <si>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</si>
  <si>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</si>
  <si>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</si>
  <si>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</si>
  <si>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</si>
  <si>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</si>
  <si>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</si>
  <si>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</si>
  <si>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</si>
  <si>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</si>
  <si>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</si>
  <si>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</si>
  <si>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</si>
  <si>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</si>
  <si>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</si>
  <si>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</si>
  <si>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</si>
  <si>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</si>
  <si>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</si>
  <si>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</si>
  <si>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</si>
  <si>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</si>
  <si>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</si>
  <si>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</si>
  <si>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</si>
  <si>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</si>
  <si>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</si>
  <si>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</si>
  <si>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</si>
  <si>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</si>
  <si>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</si>
  <si>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</si>
  <si>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</si>
  <si>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</si>
  <si>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</si>
  <si>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</si>
  <si>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</si>
  <si>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</si>
  <si>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</si>
  <si>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</si>
  <si>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</si>
  <si>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</si>
  <si>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</si>
  <si>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</si>
  <si>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</si>
  <si>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</si>
  <si>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</si>
  <si>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</si>
  <si>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</si>
  <si>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</si>
  <si>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</si>
  <si>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</si>
  <si>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</si>
  <si>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</si>
  <si>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</si>
  <si>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</si>
  <si>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</si>
  <si>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</si>
  <si>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</si>
  <si>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</si>
  <si>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</si>
  <si>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</si>
  <si>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</si>
  <si>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</si>
  <si>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</si>
  <si>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</si>
  <si>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</si>
  <si>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</si>
  <si>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</si>
  <si>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</si>
  <si>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</si>
  <si>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</si>
  <si>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</si>
  <si>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</si>
  <si>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</si>
  <si>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</si>
  <si>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</si>
  <si>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</si>
  <si>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</si>
  <si>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</si>
  <si>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</si>
  <si>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</si>
  <si>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</si>
  <si>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</si>
  <si>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</si>
  <si>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</si>
  <si>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</si>
  <si>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</si>
  <si>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</si>
  <si>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</si>
  <si>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</si>
  <si>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</si>
  <si>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</si>
  <si>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</si>
  <si>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</si>
  <si>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</si>
  <si>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</si>
  <si>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</si>
  <si>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</si>
  <si>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</si>
  <si>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</si>
  <si>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</si>
  <si>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</si>
  <si>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</si>
  <si>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</si>
  <si>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</si>
  <si>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</si>
  <si>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</si>
  <si>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</si>
  <si>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</si>
  <si>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</si>
  <si>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</si>
  <si>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</si>
  <si>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</si>
  <si>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</si>
  <si>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</si>
  <si>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</si>
  <si>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</si>
  <si>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</si>
  <si>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</si>
  <si>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</si>
  <si>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</si>
  <si>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</si>
  <si>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</si>
  <si>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</si>
  <si>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</si>
  <si>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</si>
  <si>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</si>
  <si>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</si>
  <si>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</si>
  <si>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</si>
  <si>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</si>
  <si>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</si>
  <si>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</si>
  <si>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</si>
  <si>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</si>
  <si>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</si>
  <si>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</si>
  <si>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</si>
  <si>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</si>
  <si>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</si>
  <si>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</si>
  <si>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</si>
  <si>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</si>
  <si>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</si>
  <si>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</si>
  <si>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</si>
  <si>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</si>
  <si>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</si>
  <si>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</si>
  <si>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</si>
  <si>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</si>
  <si>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</si>
  <si>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</si>
  <si>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</si>
  <si>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</si>
  <si>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</si>
  <si>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</si>
  <si>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</si>
  <si>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</si>
  <si>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</si>
  <si>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</si>
  <si>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</si>
  <si>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</si>
  <si>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</si>
  <si>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</si>
  <si>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</si>
  <si>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</si>
  <si>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</si>
  <si>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</si>
  <si>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</si>
  <si>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</si>
  <si>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</si>
  <si>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</si>
  <si>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</si>
  <si>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</si>
  <si>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</si>
  <si>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</si>
  <si>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</si>
  <si>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</si>
  <si>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</si>
  <si>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</si>
  <si>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</si>
  <si>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</si>
  <si>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</si>
  <si>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</si>
  <si>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</si>
  <si>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</si>
  <si>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</si>
  <si>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</si>
  <si>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</si>
  <si>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</si>
  <si>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</si>
  <si>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</si>
  <si>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</si>
  <si>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</si>
  <si>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</si>
  <si>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</si>
  <si>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</si>
  <si>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</si>
  <si>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</si>
  <si>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</si>
  <si>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</si>
  <si>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</si>
  <si>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</si>
  <si>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</si>
  <si>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</si>
  <si>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</si>
  <si>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</si>
  <si>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</si>
  <si>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</si>
  <si>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</si>
  <si>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</si>
  <si>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</si>
  <si>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</si>
  <si>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</si>
  <si>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</si>
  <si>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</si>
  <si>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</si>
  <si>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</si>
  <si>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</si>
  <si>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</si>
  <si>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</si>
  <si>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</si>
  <si>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</si>
  <si>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</si>
  <si>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</si>
  <si>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</si>
  <si>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</si>
  <si>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</si>
  <si>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</si>
  <si>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</si>
  <si>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</si>
  <si>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</si>
  <si>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</si>
  <si>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</si>
  <si>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</si>
  <si>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</si>
  <si>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</si>
  <si>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</si>
  <si>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</si>
  <si>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</si>
  <si>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</si>
  <si>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</si>
  <si>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</si>
  <si>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</si>
  <si>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</si>
  <si>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</si>
  <si>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</si>
  <si>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</si>
  <si>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</si>
  <si>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</si>
  <si>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</si>
  <si>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</si>
  <si>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</si>
  <si>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</si>
  <si>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</si>
  <si>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</si>
  <si>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</si>
  <si>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</si>
  <si>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</si>
  <si>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</si>
  <si>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</si>
  <si>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</si>
  <si>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</si>
  <si>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</si>
  <si>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</si>
  <si>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</si>
  <si>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</si>
  <si>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</si>
  <si>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</si>
  <si>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</si>
  <si>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</si>
  <si>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</si>
  <si>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</si>
  <si>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</si>
  <si>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</si>
  <si>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</si>
  <si>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</si>
  <si>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</si>
  <si>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</si>
  <si>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</si>
  <si>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</si>
  <si>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</si>
  <si>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</si>
  <si>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</si>
  <si>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</si>
  <si>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</si>
  <si>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</si>
  <si>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</si>
  <si>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</si>
  <si>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</si>
  <si>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</si>
  <si>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</si>
  <si>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</si>
  <si>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</si>
  <si>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</si>
  <si>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</si>
  <si>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</si>
  <si>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</si>
  <si>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</si>
  <si>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</si>
  <si>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</si>
  <si>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</si>
  <si>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</si>
  <si>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</si>
  <si>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</si>
  <si>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</si>
  <si>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</si>
  <si>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</si>
  <si>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</si>
  <si>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</si>
  <si>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</si>
  <si>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</si>
  <si>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</si>
  <si>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</si>
  <si>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</si>
  <si>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</si>
  <si>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</si>
  <si>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</si>
  <si>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</si>
  <si>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</si>
  <si>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</si>
  <si>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</si>
  <si>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</si>
  <si>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</si>
  <si>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</si>
  <si>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</si>
  <si>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</si>
  <si>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</si>
  <si>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</si>
  <si>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</si>
  <si>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</si>
  <si>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</si>
  <si>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</si>
  <si>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</si>
  <si>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</si>
  <si>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</si>
  <si>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</si>
  <si>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</si>
  <si>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</si>
  <si>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</si>
  <si>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</si>
  <si>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</si>
  <si>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</si>
  <si>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</si>
  <si>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</si>
  <si>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</si>
  <si>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</si>
  <si>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</si>
  <si>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</si>
  <si>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</si>
  <si>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</si>
  <si>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</si>
  <si>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</si>
  <si>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</si>
  <si>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</si>
  <si>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</si>
  <si>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</si>
  <si>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</si>
  <si>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</si>
  <si>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</si>
  <si>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</si>
  <si>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</si>
  <si>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</si>
  <si>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</si>
  <si>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</si>
  <si>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</si>
  <si>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</si>
  <si>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</si>
  <si>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</si>
  <si>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</si>
  <si>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</si>
  <si>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</si>
  <si>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</si>
  <si>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</si>
  <si>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</si>
  <si>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</si>
  <si>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</si>
  <si>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</si>
  <si>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</si>
  <si>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</si>
  <si>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</si>
  <si>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</si>
  <si>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</si>
  <si>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</si>
  <si>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</si>
  <si>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</si>
  <si>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</si>
  <si>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</si>
  <si>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</si>
  <si>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</si>
  <si>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</si>
  <si>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</si>
  <si>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</si>
  <si>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</si>
  <si>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</si>
  <si>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</si>
  <si>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</si>
  <si>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</si>
  <si>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</si>
  <si>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</si>
  <si>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</si>
  <si>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</si>
  <si>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</si>
  <si>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</si>
  <si>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</si>
  <si>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</si>
  <si>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</si>
  <si>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</si>
  <si>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</si>
  <si>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</si>
  <si>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</si>
  <si>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</si>
  <si>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</si>
  <si>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</si>
  <si>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</si>
  <si>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</si>
  <si>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</si>
  <si>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</si>
  <si>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</si>
  <si>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</si>
  <si>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</si>
  <si>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</si>
  <si>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</si>
  <si>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</si>
  <si>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</si>
  <si>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</si>
  <si>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</si>
  <si>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</si>
  <si>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</si>
  <si>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</si>
  <si>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</si>
  <si>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</si>
  <si>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</si>
  <si>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</si>
  <si>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</si>
  <si>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</si>
  <si>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</si>
  <si>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</si>
  <si>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</si>
  <si>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</si>
  <si>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</si>
  <si>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</si>
  <si>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</si>
  <si>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</si>
  <si>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</si>
  <si>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</si>
  <si>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</si>
  <si>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</si>
  <si>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</si>
  <si>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</si>
  <si>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</si>
  <si>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</si>
  <si>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</si>
  <si>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</si>
  <si>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</si>
  <si>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</si>
  <si>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</si>
  <si>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</si>
  <si>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</si>
  <si>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</si>
  <si>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</si>
  <si>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</si>
  <si>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</si>
  <si>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</si>
  <si>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</si>
  <si>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</si>
  <si>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</si>
  <si>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</si>
  <si>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</si>
  <si>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</si>
  <si>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</si>
  <si>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</si>
  <si>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</si>
  <si>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</si>
  <si>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</si>
  <si>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</si>
  <si>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</si>
  <si>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</si>
  <si>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</si>
  <si>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</si>
  <si>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</si>
  <si>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</si>
  <si>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</si>
  <si>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</si>
  <si>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</si>
  <si>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</si>
  <si>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</si>
  <si>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</si>
  <si>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</si>
  <si>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</si>
  <si>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</si>
  <si>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</si>
  <si>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</si>
  <si>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</si>
  <si>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</si>
  <si>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</si>
  <si>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</si>
  <si>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</si>
  <si>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</si>
  <si>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</si>
  <si>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</si>
  <si>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</si>
  <si>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</si>
  <si>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</si>
  <si>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</si>
  <si>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</si>
  <si>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</si>
  <si>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</si>
  <si>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</si>
  <si>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</si>
  <si>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</si>
  <si>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</si>
  <si>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</si>
  <si>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</si>
  <si>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</si>
  <si>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</si>
  <si>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</si>
  <si>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</si>
  <si>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</si>
  <si>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</si>
  <si>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</si>
  <si>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</si>
  <si>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</si>
  <si>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</si>
  <si>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</si>
  <si>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</si>
  <si>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</si>
  <si>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</si>
  <si>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</si>
  <si>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</si>
  <si>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</si>
  <si>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</si>
  <si>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</si>
  <si>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</si>
  <si>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</si>
  <si>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</si>
  <si>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</si>
  <si>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</si>
  <si>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</si>
  <si>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</si>
  <si>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</si>
  <si>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</si>
  <si>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</si>
  <si>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</si>
  <si>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</si>
  <si>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</si>
  <si>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</si>
  <si>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</si>
  <si>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</si>
  <si>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</si>
  <si>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</si>
  <si>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</si>
  <si>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</si>
  <si>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</si>
  <si>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</si>
  <si>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</si>
  <si>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</si>
  <si>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</si>
  <si>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</si>
  <si>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</si>
  <si>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</si>
  <si>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</si>
  <si>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</si>
  <si>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</si>
  <si>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</si>
  <si>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</si>
  <si>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</si>
  <si>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</si>
  <si>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</si>
  <si>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</si>
  <si>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</si>
  <si>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</si>
  <si>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</si>
  <si>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</si>
  <si>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</si>
  <si>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</si>
  <si>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</si>
  <si>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</si>
  <si>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</si>
  <si>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</si>
  <si>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</si>
  <si>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</si>
  <si>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</si>
  <si>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</si>
  <si>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</si>
  <si>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</si>
  <si>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</si>
  <si>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</si>
  <si>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</si>
  <si>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</si>
  <si>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</si>
  <si>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</si>
  <si>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</si>
  <si>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</si>
  <si>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</si>
  <si>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</si>
  <si>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</si>
  <si>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</si>
  <si>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</si>
  <si>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</si>
  <si>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</si>
  <si>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</si>
  <si>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</si>
  <si>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</si>
  <si>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</si>
  <si>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</si>
  <si>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</si>
  <si>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</si>
  <si>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</si>
  <si>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</si>
  <si>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</si>
  <si>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</si>
  <si>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</si>
  <si>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</si>
  <si>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</si>
  <si>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</si>
  <si>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</si>
  <si>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</si>
  <si>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</si>
  <si>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</si>
  <si>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</si>
  <si>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</si>
  <si>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</si>
  <si>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</si>
  <si>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</si>
  <si>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</si>
  <si>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</si>
  <si>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</si>
  <si>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</si>
  <si>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</si>
  <si>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</si>
  <si>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</si>
  <si>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</si>
  <si>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</si>
  <si>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</si>
  <si>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</si>
  <si>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</si>
  <si>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</si>
  <si>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</si>
  <si>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</si>
  <si>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</si>
  <si>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</si>
  <si>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</si>
  <si>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</si>
  <si>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</si>
  <si>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</si>
  <si>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</si>
  <si>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</si>
  <si>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</si>
  <si>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</si>
  <si>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</si>
  <si>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</si>
  <si>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</si>
  <si>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</si>
  <si>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</si>
  <si>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</si>
  <si>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</si>
  <si>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</si>
  <si>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</si>
  <si>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</si>
  <si>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</si>
  <si>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</si>
  <si>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</si>
  <si>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</si>
  <si>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</si>
  <si>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</si>
  <si>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</si>
  <si>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</si>
  <si>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</si>
  <si>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</si>
  <si>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</si>
  <si>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</si>
  <si>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</si>
  <si>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</si>
  <si>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</si>
  <si>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</si>
  <si>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</si>
  <si>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</si>
  <si>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</si>
  <si>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</si>
  <si>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</si>
  <si>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</si>
  <si>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</si>
  <si>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</si>
  <si>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</si>
  <si>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</si>
  <si>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</si>
  <si>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</si>
  <si>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</si>
  <si>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</si>
  <si>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</si>
  <si>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</si>
  <si>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</si>
  <si>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</si>
  <si>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</si>
  <si>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</si>
  <si>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</si>
  <si>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</si>
  <si>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</si>
  <si>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</si>
  <si>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</si>
  <si>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</si>
  <si>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</si>
  <si>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</si>
  <si>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</si>
  <si>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</si>
  <si>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</si>
  <si>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</si>
  <si>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</si>
  <si>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</si>
  <si>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</si>
  <si>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</si>
  <si>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</si>
  <si>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</si>
  <si>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</si>
  <si>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</si>
  <si>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</si>
  <si>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</si>
  <si>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</si>
  <si>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</si>
  <si>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</si>
  <si>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</si>
  <si>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</si>
  <si>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</si>
  <si>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</si>
  <si>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</si>
  <si>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</si>
  <si>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</si>
  <si>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</si>
  <si>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</si>
  <si>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</si>
  <si>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</si>
  <si>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</si>
  <si>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</si>
  <si>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</si>
  <si>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</si>
  <si>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</si>
  <si>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</si>
  <si>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</si>
  <si>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</si>
  <si>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</si>
  <si>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</si>
  <si>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</si>
  <si>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</si>
  <si>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</si>
  <si>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</si>
  <si>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</si>
  <si>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</si>
  <si>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</si>
  <si>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</si>
  <si>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</si>
  <si>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</si>
  <si>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</si>
  <si>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</si>
  <si>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</si>
  <si>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</si>
  <si>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</si>
  <si>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</si>
  <si>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</si>
  <si>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</si>
  <si>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</si>
  <si>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</si>
  <si>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</si>
  <si>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</si>
  <si>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</si>
  <si>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</si>
  <si>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</si>
  <si>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</si>
  <si>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</si>
  <si>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</si>
  <si>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</si>
  <si>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</si>
  <si>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</si>
  <si>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</si>
  <si>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</si>
  <si>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</si>
  <si>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</si>
  <si>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</si>
  <si>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</si>
  <si>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</si>
  <si>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</si>
  <si>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</si>
  <si>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</si>
  <si>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</si>
  <si>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</si>
  <si>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</si>
  <si>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</si>
  <si>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</si>
  <si>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</si>
  <si>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</si>
  <si>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</si>
  <si>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</si>
  <si>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</si>
  <si>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</si>
  <si>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</si>
  <si>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</si>
  <si>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</si>
  <si>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</si>
  <si>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</si>
  <si>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</si>
  <si>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</si>
  <si>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</si>
  <si>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</si>
  <si>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</si>
  <si>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</si>
  <si>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</si>
  <si>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</si>
  <si>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</si>
  <si>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</si>
  <si>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</si>
  <si>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</si>
  <si>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</si>
  <si>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</si>
  <si>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</si>
  <si>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</si>
  <si>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</si>
  <si>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</si>
  <si>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</si>
  <si>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</si>
  <si>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</si>
  <si>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</si>
  <si>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</si>
  <si>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</si>
  <si>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</si>
  <si>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</si>
  <si>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</si>
  <si>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</si>
  <si>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</si>
  <si>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</si>
  <si>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</si>
  <si>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</si>
  <si>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</si>
  <si>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</si>
  <si>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</si>
  <si>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</si>
  <si>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</si>
  <si>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</si>
  <si>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</si>
  <si>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</si>
  <si>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</si>
  <si>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</si>
  <si>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</si>
  <si>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</si>
  <si>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</si>
  <si>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</si>
  <si>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</si>
  <si>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</si>
  <si>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</si>
  <si>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</si>
  <si>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</si>
  <si>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</si>
  <si>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</si>
  <si>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</si>
  <si>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</si>
  <si>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</si>
  <si>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</si>
  <si>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</si>
  <si>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</si>
  <si>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</si>
  <si>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</si>
  <si>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</si>
  <si>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</si>
  <si>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</si>
  <si>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</si>
  <si>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</si>
  <si>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</si>
  <si>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</si>
  <si>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</si>
  <si>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</si>
  <si>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</si>
  <si>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</si>
  <si>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</si>
  <si>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</si>
  <si>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</si>
  <si>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</si>
  <si>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</si>
  <si>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</si>
  <si>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</si>
  <si>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</si>
  <si>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</si>
  <si>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</si>
  <si>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</si>
  <si>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</si>
  <si>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</si>
  <si>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</si>
  <si>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</si>
  <si>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</si>
  <si>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</si>
  <si>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</si>
  <si>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</si>
  <si>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</si>
  <si>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</si>
  <si>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</si>
  <si>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</si>
  <si>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</si>
  <si>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</si>
  <si>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</si>
  <si>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</si>
  <si>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</si>
  <si>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</si>
  <si>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</si>
  <si>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</si>
  <si>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</si>
  <si>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</si>
  <si>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</si>
  <si>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</si>
  <si>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</si>
  <si>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</si>
  <si>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</si>
  <si>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</si>
  <si>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</si>
  <si>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</si>
  <si>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</si>
  <si>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</si>
  <si>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</si>
  <si>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</si>
  <si>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</si>
  <si>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</si>
  <si>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</si>
  <si>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</si>
  <si>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</si>
  <si>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</si>
  <si>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</si>
  <si>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</si>
  <si>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</si>
  <si>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</si>
  <si>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</si>
  <si>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</si>
  <si>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</si>
  <si>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</si>
  <si>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</si>
  <si>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</si>
  <si>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</si>
  <si>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</si>
  <si>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</si>
  <si>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</si>
  <si>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</si>
  <si>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</si>
  <si>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</si>
  <si>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</si>
  <si>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</si>
  <si>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</si>
  <si>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</si>
  <si>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</si>
  <si>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</si>
  <si>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</si>
  <si>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</si>
  <si>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</si>
  <si>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</si>
  <si>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</si>
  <si>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</si>
  <si>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</si>
  <si>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</si>
  <si>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</si>
  <si>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</si>
  <si>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</si>
  <si>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</si>
  <si>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</si>
  <si>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</si>
  <si>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</si>
  <si>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</si>
  <si>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</si>
  <si>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</si>
  <si>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</si>
  <si>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</si>
  <si>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</si>
  <si>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</si>
  <si>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</si>
  <si>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</si>
  <si>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</si>
  <si>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</si>
  <si>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</si>
  <si>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</si>
  <si>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</si>
  <si>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</si>
  <si>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</si>
  <si>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</si>
  <si>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</si>
  <si>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</si>
  <si>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</si>
  <si>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</si>
  <si>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</si>
  <si>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</si>
  <si>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</si>
  <si>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</si>
  <si>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</si>
  <si>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</si>
  <si>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</si>
  <si>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</si>
  <si>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</si>
  <si>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</si>
  <si>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</si>
  <si>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</si>
  <si>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</si>
  <si>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</si>
  <si>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</si>
  <si>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</si>
  <si>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</si>
  <si>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</si>
  <si>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</si>
  <si>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</si>
  <si>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</si>
  <si>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</si>
  <si>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</si>
  <si>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</si>
  <si>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</si>
  <si>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</si>
  <si>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</si>
  <si>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</si>
  <si>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</si>
  <si>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</si>
  <si>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</si>
  <si>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</si>
  <si>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</si>
  <si>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</si>
  <si>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</si>
  <si>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</si>
  <si>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</si>
  <si>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</si>
  <si>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</si>
  <si>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</si>
  <si>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</si>
  <si>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</si>
  <si>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</si>
  <si>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</si>
  <si>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</si>
  <si>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</si>
  <si>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</si>
  <si>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</si>
  <si>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</si>
  <si>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</si>
  <si>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</si>
  <si>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</si>
  <si>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</si>
  <si>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</si>
  <si>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</si>
  <si>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</si>
  <si>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</si>
  <si>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</si>
  <si>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</si>
  <si>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</si>
  <si>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</si>
  <si>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</si>
  <si>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</si>
  <si>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</si>
  <si>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</si>
  <si>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</si>
  <si>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</si>
  <si>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</si>
  <si>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</si>
  <si>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</si>
  <si>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</si>
  <si>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</si>
  <si>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</si>
  <si>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</si>
  <si>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</si>
  <si>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</si>
  <si>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</si>
  <si>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</si>
  <si>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</si>
  <si>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</si>
  <si>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</si>
  <si>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</si>
  <si>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</si>
  <si>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</si>
  <si>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</si>
  <si>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</si>
  <si>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</si>
  <si>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</si>
  <si>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</si>
  <si>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</si>
  <si>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</si>
  <si>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</si>
  <si>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</si>
  <si>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</si>
  <si>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</si>
  <si>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</si>
  <si>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</si>
  <si>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</si>
  <si>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</si>
  <si>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</si>
  <si>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</si>
  <si>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</si>
  <si>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</si>
  <si>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</si>
  <si>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</si>
  <si>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</si>
  <si>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</si>
  <si>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</si>
  <si>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</si>
  <si>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</si>
  <si>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</si>
  <si>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</si>
  <si>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</si>
  <si>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</si>
  <si>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</si>
  <si>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</si>
  <si>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</si>
  <si>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</si>
  <si>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</si>
  <si>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</si>
  <si>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</si>
  <si>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</si>
  <si>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</si>
  <si>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</si>
  <si>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</si>
  <si>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</si>
  <si>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</si>
  <si>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</si>
  <si>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</si>
  <si>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</si>
  <si>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</si>
  <si>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</si>
  <si>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</si>
  <si>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</si>
  <si>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</si>
  <si>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</si>
  <si>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</si>
  <si>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</si>
  <si>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</si>
  <si>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</si>
  <si>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</si>
  <si>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</si>
  <si>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</si>
  <si>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</si>
  <si>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</si>
  <si>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</si>
  <si>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</si>
  <si>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</si>
  <si>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</si>
  <si>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</si>
  <si>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</si>
  <si>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</si>
  <si>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</si>
  <si>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</si>
  <si>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</si>
  <si>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</si>
  <si>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</si>
  <si>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</si>
  <si>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</si>
  <si>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</si>
  <si>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</si>
  <si>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</si>
  <si>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</si>
  <si>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</si>
  <si>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</si>
  <si>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</si>
  <si>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</si>
  <si>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</si>
  <si>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</si>
  <si>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</si>
  <si>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</si>
  <si>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</si>
  <si>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</si>
  <si>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</si>
  <si>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</si>
  <si>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</si>
  <si>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</si>
  <si>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</si>
  <si>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</si>
  <si>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</si>
  <si>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</si>
  <si>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</si>
  <si>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</si>
  <si>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</si>
  <si>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</si>
  <si>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</si>
  <si>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</si>
  <si>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</si>
  <si>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</si>
  <si>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</si>
  <si>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</si>
  <si>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</si>
  <si>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</si>
  <si>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</si>
  <si>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</si>
  <si>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</si>
  <si>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</si>
  <si>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</si>
  <si>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</si>
  <si>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</si>
  <si>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</si>
  <si>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</si>
  <si>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</si>
  <si>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</si>
  <si>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</si>
  <si>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</si>
  <si>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</si>
  <si>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</si>
  <si>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</si>
  <si>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</si>
  <si>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</si>
  <si>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</si>
  <si>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</si>
  <si>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</si>
  <si>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</si>
  <si>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</si>
  <si>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</si>
  <si>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</si>
  <si>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</si>
  <si>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</si>
  <si>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</si>
  <si>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</si>
  <si>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</si>
  <si>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</si>
  <si>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</si>
  <si>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</si>
  <si>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</si>
  <si>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</si>
  <si>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</si>
  <si>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</si>
  <si>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</si>
  <si>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</si>
  <si>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</si>
  <si>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</si>
  <si>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</si>
  <si>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</si>
  <si>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</si>
  <si>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</si>
  <si>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</si>
  <si>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</si>
  <si>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</si>
  <si>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</si>
  <si>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</si>
  <si>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</si>
  <si>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</si>
  <si>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</si>
  <si>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</si>
  <si>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</si>
  <si>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</si>
  <si>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</si>
  <si>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</si>
  <si>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</si>
  <si>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</si>
  <si>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</si>
  <si>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</si>
  <si>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</si>
  <si>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</si>
  <si>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</si>
  <si>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</si>
  <si>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</si>
  <si>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</si>
  <si>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</si>
  <si>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</si>
  <si>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</si>
  <si>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</si>
  <si>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</si>
  <si>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</si>
  <si>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</si>
  <si>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</si>
  <si>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</si>
  <si>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</si>
  <si>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</si>
  <si>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</si>
  <si>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</si>
  <si>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</si>
  <si>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</si>
  <si>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</si>
  <si>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</si>
  <si>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</si>
  <si>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</si>
  <si>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</si>
  <si>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</si>
  <si>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</si>
  <si>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</si>
  <si>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</si>
  <si>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</si>
  <si>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</si>
  <si>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</si>
  <si>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</si>
  <si>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</si>
  <si>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</si>
  <si>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</si>
  <si>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</si>
  <si>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</si>
  <si>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</si>
  <si>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</si>
  <si>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</si>
  <si>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</si>
  <si>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</si>
  <si>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</si>
  <si>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</si>
  <si>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</si>
  <si>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</si>
  <si>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</si>
  <si>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</si>
  <si>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</si>
  <si>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</si>
  <si>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</si>
  <si>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</si>
  <si>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</si>
  <si>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</si>
  <si>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</si>
  <si>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</si>
  <si>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</si>
  <si>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</si>
  <si>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</si>
  <si>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</si>
  <si>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</si>
  <si>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</si>
  <si>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</si>
  <si>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</si>
  <si>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</si>
  <si>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</si>
  <si>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</si>
  <si>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</si>
  <si>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</si>
  <si>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</si>
  <si>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</si>
  <si>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</si>
  <si>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</si>
  <si>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</si>
  <si>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</si>
  <si>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</si>
  <si>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</si>
  <si>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</si>
  <si>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</si>
  <si>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</si>
  <si>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</si>
  <si>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</si>
  <si>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</si>
  <si>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</si>
  <si>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</si>
  <si>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</si>
  <si>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</si>
  <si>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</si>
  <si>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</si>
  <si>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</si>
  <si>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</si>
  <si>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</si>
  <si>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</si>
  <si>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</si>
  <si>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</si>
  <si>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</si>
  <si>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</si>
  <si>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</si>
  <si>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</si>
  <si>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</si>
  <si>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</si>
  <si>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</si>
  <si>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</si>
  <si>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</si>
  <si>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</si>
  <si>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</si>
  <si>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</si>
  <si>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</si>
  <si>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</si>
  <si>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</si>
  <si>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</si>
  <si>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</si>
  <si>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</si>
  <si>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</si>
  <si>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</si>
  <si>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</si>
  <si>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</si>
  <si>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</si>
  <si>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</si>
  <si>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</si>
  <si>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</si>
  <si>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</si>
  <si>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</si>
  <si>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</si>
  <si>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</si>
  <si>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</si>
  <si>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</si>
  <si>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</si>
  <si>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</si>
  <si>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</si>
  <si>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</si>
  <si>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</si>
  <si>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</si>
  <si>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</si>
  <si>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</si>
  <si>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</si>
  <si>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</si>
  <si>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</si>
  <si>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</si>
  <si>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</si>
  <si>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</si>
  <si>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</si>
  <si>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</si>
  <si>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</si>
  <si>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</si>
  <si>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</si>
  <si>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</si>
  <si>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</si>
  <si>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</si>
  <si>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</si>
  <si>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</si>
  <si>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</si>
  <si>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</si>
  <si>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</si>
  <si>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</si>
  <si>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</si>
  <si>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</si>
  <si>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</si>
  <si>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</si>
  <si>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</si>
  <si>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</si>
  <si>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</si>
  <si>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</si>
  <si>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</si>
  <si>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</si>
  <si>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</si>
  <si>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</si>
  <si>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</si>
  <si>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</si>
  <si>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</si>
  <si>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</si>
  <si>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</si>
  <si>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</si>
  <si>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</si>
  <si>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</si>
  <si>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</si>
  <si>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</si>
  <si>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</si>
  <si>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</si>
  <si>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</si>
  <si>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</si>
  <si>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</si>
  <si>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</si>
  <si>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</si>
  <si>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</si>
  <si>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</si>
  <si>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</si>
  <si>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</si>
  <si>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</si>
  <si>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</si>
  <si>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</si>
  <si>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</si>
  <si>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</si>
  <si>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</si>
  <si>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</si>
  <si>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</si>
  <si>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</si>
  <si>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</si>
  <si>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</si>
  <si>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</si>
  <si>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</si>
  <si>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</si>
  <si>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</si>
  <si>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</si>
  <si>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</si>
  <si>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</si>
  <si>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</si>
  <si>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</si>
  <si>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</si>
  <si>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</si>
  <si>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</si>
  <si>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</si>
  <si>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</si>
  <si>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</si>
  <si>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</si>
  <si>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</si>
  <si>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</si>
  <si>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</si>
  <si>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</si>
  <si>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</si>
  <si>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</si>
  <si>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</si>
  <si>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</si>
  <si>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</si>
  <si>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</si>
  <si>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</si>
  <si>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</si>
  <si>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</si>
  <si>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</si>
  <si>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</si>
  <si>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</si>
  <si>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</si>
  <si>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</si>
  <si>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</si>
  <si>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</si>
  <si>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</si>
  <si>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</si>
  <si>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</si>
  <si>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</si>
  <si>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</si>
  <si>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</si>
  <si>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</si>
  <si>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</si>
  <si>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</si>
  <si>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</si>
  <si>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</si>
  <si>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</si>
  <si>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</si>
  <si>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</si>
  <si>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</si>
  <si>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</si>
  <si>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</si>
  <si>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</si>
  <si>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</si>
  <si>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</si>
  <si>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</si>
  <si>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</si>
  <si>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</si>
  <si>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</si>
  <si>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</si>
  <si>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</si>
  <si>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</si>
  <si>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</si>
  <si>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</si>
  <si>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</si>
  <si>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</si>
  <si>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</si>
  <si>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</si>
  <si>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</si>
  <si>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</si>
  <si>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</si>
  <si>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</si>
  <si>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</si>
  <si>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</si>
  <si>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</si>
  <si>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</si>
  <si>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</si>
  <si>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</si>
  <si>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</si>
  <si>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</si>
  <si>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</si>
  <si>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</si>
  <si>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</si>
  <si>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</si>
  <si>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</si>
  <si>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</si>
  <si>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</si>
  <si>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</si>
  <si>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</si>
  <si>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</si>
  <si>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</si>
  <si>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</si>
  <si>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</si>
  <si>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</si>
  <si>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</si>
  <si>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</si>
  <si>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</si>
  <si>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</si>
  <si>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</si>
  <si>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</si>
  <si>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</si>
  <si>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</si>
  <si>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</si>
  <si>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</si>
  <si>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</si>
  <si>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</si>
  <si>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</si>
  <si>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</si>
  <si>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</si>
  <si>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</si>
  <si>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</si>
  <si>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</si>
  <si>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</si>
  <si>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</si>
  <si>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</si>
  <si>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</si>
  <si>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</si>
  <si>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</si>
  <si>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</si>
  <si>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</si>
  <si>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</si>
  <si>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</si>
  <si>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</si>
  <si>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</si>
  <si>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</si>
  <si>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</si>
  <si>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</si>
  <si>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</si>
  <si>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</si>
  <si>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</si>
  <si>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</si>
  <si>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</si>
  <si>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</si>
  <si>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</si>
  <si>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</si>
  <si>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</si>
  <si>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</si>
  <si>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</si>
  <si>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</si>
  <si>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</si>
  <si>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</si>
  <si>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</si>
  <si>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</si>
  <si>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</si>
  <si>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</si>
  <si>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</si>
  <si>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</si>
  <si>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</si>
  <si>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</si>
  <si>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</si>
  <si>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</si>
  <si>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</si>
  <si>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</si>
  <si>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</si>
  <si>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</si>
  <si>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</si>
  <si>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</si>
  <si>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</si>
  <si>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</si>
  <si>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</si>
  <si>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</si>
  <si>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</si>
  <si>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</si>
  <si>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</si>
  <si>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</si>
  <si>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</si>
  <si>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</si>
  <si>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</si>
  <si>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</si>
  <si>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</si>
  <si>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</si>
  <si>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</si>
  <si>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</si>
  <si>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</si>
  <si>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</si>
  <si>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</si>
  <si>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</si>
  <si>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</si>
  <si>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</si>
  <si>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</si>
  <si>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</si>
  <si>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</si>
  <si>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</si>
  <si>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</si>
  <si>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</si>
  <si>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</si>
  <si>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</si>
  <si>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</si>
  <si>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</si>
  <si>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</si>
  <si>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</si>
  <si>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</si>
  <si>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</si>
  <si>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</si>
  <si>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</si>
  <si>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</si>
  <si>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</si>
  <si>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</si>
  <si>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</si>
  <si>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</si>
  <si>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</si>
  <si>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</si>
  <si>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</si>
  <si>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</si>
  <si>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</si>
  <si>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</si>
  <si>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</si>
  <si>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</si>
  <si>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</si>
  <si>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</si>
  <si>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</si>
  <si>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</si>
  <si>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</si>
  <si>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</si>
  <si>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</si>
  <si>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</si>
  <si>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</si>
  <si>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</si>
  <si>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</si>
  <si>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</si>
  <si>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</si>
  <si>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</si>
  <si>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</si>
  <si>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</si>
  <si>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</si>
  <si>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</si>
  <si>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</si>
  <si>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</si>
  <si>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</si>
  <si>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</si>
  <si>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</si>
  <si>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</si>
  <si>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</si>
  <si>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</si>
  <si>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</si>
  <si>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</si>
  <si>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</si>
  <si>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</si>
  <si>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</si>
  <si>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</si>
  <si>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</si>
  <si>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</si>
  <si>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</si>
  <si>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</si>
  <si>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</si>
  <si>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</si>
  <si>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</si>
  <si>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</si>
  <si>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</si>
  <si>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</si>
  <si>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</si>
  <si>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</si>
  <si>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</si>
  <si>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</si>
  <si>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</si>
  <si>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</si>
  <si>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</si>
  <si>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</si>
  <si>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</si>
  <si>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</si>
  <si>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</si>
  <si>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</si>
  <si>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</si>
  <si>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</si>
  <si>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</si>
  <si>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</si>
  <si>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</si>
  <si>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</si>
  <si>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</si>
  <si>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</si>
  <si>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</si>
  <si>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</si>
  <si>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</si>
  <si>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</si>
  <si>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</si>
  <si>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</si>
  <si>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</si>
  <si>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</si>
  <si>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</si>
  <si>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</si>
  <si>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</si>
  <si>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</si>
  <si>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</si>
  <si>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</si>
  <si>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</si>
  <si>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</si>
  <si>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</si>
  <si>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</si>
  <si>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</si>
  <si>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</si>
  <si>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</si>
  <si>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</si>
  <si>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</si>
  <si>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</si>
  <si>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</si>
  <si>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</si>
  <si>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</si>
  <si>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</si>
  <si>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</si>
  <si>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</si>
  <si>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</si>
  <si>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</si>
  <si>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</si>
  <si>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</si>
  <si>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</si>
  <si>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</si>
  <si>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</si>
  <si>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</si>
  <si>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</si>
  <si>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</si>
  <si>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</si>
  <si>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</si>
  <si>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</si>
  <si>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</si>
  <si>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</si>
  <si>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</si>
  <si>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</si>
  <si>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</si>
  <si>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</si>
  <si>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</si>
  <si>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</si>
  <si>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</si>
  <si>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</si>
  <si>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</si>
  <si>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</si>
  <si>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</si>
  <si>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</si>
  <si>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</si>
  <si>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</si>
  <si>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</si>
  <si>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</si>
  <si>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</si>
  <si>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</si>
  <si>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</si>
  <si>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</si>
  <si>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</si>
  <si>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</si>
  <si>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</si>
  <si>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</si>
  <si>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</si>
  <si>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</si>
  <si>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</si>
  <si>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</si>
  <si>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</si>
  <si>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</si>
  <si>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</si>
  <si>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</si>
  <si>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</si>
  <si>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</si>
  <si>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</si>
  <si>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</si>
  <si>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</si>
  <si>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</si>
  <si>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</si>
  <si>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</si>
  <si>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</si>
  <si>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</si>
  <si>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</si>
  <si>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</si>
  <si>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</si>
  <si>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</si>
  <si>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</si>
  <si>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</si>
  <si>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</si>
  <si>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</si>
  <si>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</si>
  <si>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</si>
  <si>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</si>
  <si>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</si>
  <si>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</si>
  <si>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</si>
  <si>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</si>
  <si>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</si>
  <si>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</si>
  <si>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</si>
  <si>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</si>
  <si>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</si>
  <si>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</si>
  <si>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</si>
  <si>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</si>
  <si>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</si>
  <si>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</si>
  <si>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</si>
  <si>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</si>
  <si>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</si>
  <si>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</si>
  <si>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</si>
  <si>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</si>
  <si>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</si>
  <si>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</si>
  <si>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</si>
  <si>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</si>
  <si>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</si>
  <si>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</si>
  <si>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</si>
  <si>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</si>
  <si>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</si>
  <si>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</si>
  <si>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</si>
  <si>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</si>
  <si>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</si>
  <si>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</si>
  <si>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</si>
  <si>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</si>
  <si>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</si>
  <si>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</si>
  <si>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</si>
  <si>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</si>
  <si>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</si>
  <si>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</si>
  <si>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</si>
  <si>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</si>
  <si>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</si>
  <si>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</si>
  <si>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</si>
  <si>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</si>
  <si>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</si>
  <si>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</si>
  <si>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</si>
  <si>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</si>
  <si>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</si>
  <si>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</si>
  <si>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</si>
  <si>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</si>
  <si>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</si>
  <si>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</si>
  <si>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</si>
  <si>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</si>
  <si>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</si>
  <si>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</si>
  <si>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</si>
  <si>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</si>
  <si>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</si>
  <si>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</si>
  <si>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</si>
  <si>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</si>
  <si>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</si>
  <si>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</si>
  <si>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</si>
  <si>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</si>
  <si>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</si>
  <si>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</si>
  <si>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</si>
  <si>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</si>
  <si>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</si>
  <si>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</si>
  <si>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</si>
  <si>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</si>
  <si>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</si>
  <si>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</si>
  <si>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</si>
  <si>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</si>
  <si>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</si>
  <si>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</si>
  <si>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</si>
  <si>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</si>
  <si>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</si>
  <si>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</si>
  <si>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</si>
  <si>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</si>
  <si>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</si>
  <si>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</si>
  <si>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</si>
  <si>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</si>
  <si>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</si>
  <si>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</si>
  <si>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</si>
  <si>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</si>
  <si>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</si>
  <si>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</si>
  <si>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</si>
  <si>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</si>
  <si>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</si>
  <si>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</si>
  <si>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</si>
  <si>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</si>
  <si>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</si>
  <si>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</si>
  <si>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</si>
  <si>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</si>
  <si>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</si>
  <si>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</si>
  <si>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</si>
  <si>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</si>
  <si>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</si>
  <si>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</si>
  <si>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</si>
  <si>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</si>
  <si>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</si>
  <si>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</si>
  <si>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</si>
  <si>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</si>
  <si>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</si>
  <si>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</si>
  <si>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</si>
  <si>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</si>
  <si>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</si>
  <si>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</si>
  <si>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</si>
  <si>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</si>
  <si>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</si>
  <si>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</si>
  <si>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</si>
  <si>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</si>
  <si>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</si>
  <si>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</si>
  <si>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</si>
  <si>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</si>
  <si>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</si>
  <si>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</si>
  <si>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</si>
  <si>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</si>
  <si>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</si>
  <si>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</si>
  <si>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</si>
  <si>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</si>
  <si>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</si>
  <si>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</si>
  <si>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</si>
  <si>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</si>
  <si>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</si>
  <si>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</si>
  <si>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</si>
  <si>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</si>
  <si>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</si>
  <si>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</si>
  <si>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</si>
  <si>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</si>
  <si>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</si>
  <si>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</si>
  <si>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</si>
  <si>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</si>
  <si>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</si>
  <si>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</si>
  <si>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</si>
  <si>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</si>
  <si>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</si>
  <si>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</si>
  <si>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</si>
  <si>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</si>
  <si>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</si>
  <si>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</si>
  <si>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</si>
  <si>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</si>
  <si>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</si>
  <si>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</si>
  <si>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</si>
  <si>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</si>
  <si>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</si>
  <si>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</si>
  <si>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</si>
  <si>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</si>
  <si>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</si>
  <si>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</si>
  <si>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</si>
  <si>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</si>
  <si>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</si>
  <si>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</si>
  <si>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</si>
  <si>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</si>
  <si>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</si>
  <si>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</si>
  <si>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</si>
  <si>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</si>
  <si>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</si>
  <si>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</si>
  <si>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</si>
  <si>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</si>
  <si>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</si>
  <si>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</si>
  <si>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</si>
  <si>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</si>
  <si>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</si>
  <si>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</si>
  <si>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</si>
  <si>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</si>
  <si>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</si>
  <si>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</si>
  <si>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</si>
  <si>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</si>
  <si>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</si>
  <si>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</si>
  <si>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</si>
  <si>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</si>
  <si>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</si>
  <si>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</si>
  <si>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</si>
  <si>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</si>
  <si>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</si>
  <si>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</si>
  <si>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</si>
  <si>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</si>
  <si>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</si>
  <si>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</si>
  <si>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</si>
  <si>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</si>
  <si>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</si>
  <si>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</si>
  <si>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</si>
  <si>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</si>
  <si>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</si>
  <si>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</si>
  <si>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</si>
  <si>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</si>
  <si>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</si>
  <si>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</si>
  <si>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</si>
  <si>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</si>
  <si>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</si>
  <si>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</si>
  <si>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</si>
  <si>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</si>
  <si>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</si>
  <si>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</si>
  <si>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</si>
  <si>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</si>
  <si>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</si>
  <si>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</si>
  <si>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</si>
  <si>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</si>
  <si>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</si>
  <si>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</si>
  <si>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</si>
  <si>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</si>
  <si>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</si>
  <si>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</si>
  <si>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</si>
  <si>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</si>
  <si>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</si>
  <si>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</si>
  <si>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</si>
  <si>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</si>
  <si>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</si>
  <si>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</si>
  <si>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</si>
  <si>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</si>
  <si>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</si>
  <si>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</si>
  <si>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</si>
  <si>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</si>
  <si>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</si>
  <si>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</si>
  <si>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</si>
  <si>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</si>
  <si>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</si>
  <si>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</si>
  <si>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</si>
  <si>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</si>
  <si>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</si>
  <si>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</si>
  <si>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</si>
  <si>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</si>
  <si>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</si>
  <si>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</si>
  <si>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</si>
  <si>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</si>
  <si>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</si>
  <si>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</si>
  <si>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</si>
  <si>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</si>
  <si>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</si>
  <si>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</si>
  <si>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</si>
  <si>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</si>
  <si>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</si>
  <si>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</si>
  <si>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</si>
  <si>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</si>
  <si>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</si>
  <si>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</si>
  <si>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</si>
  <si>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</si>
  <si>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</si>
  <si>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</si>
  <si>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</si>
  <si>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</si>
  <si>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</si>
  <si>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</si>
  <si>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</si>
  <si>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</si>
  <si>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</si>
  <si>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</si>
  <si>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</si>
  <si>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</si>
  <si>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</si>
  <si>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</si>
  <si>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</si>
  <si>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</si>
  <si>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</si>
  <si>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</si>
  <si>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</si>
  <si>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</si>
  <si>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</si>
  <si>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</si>
  <si>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</si>
  <si>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</si>
  <si>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</si>
  <si>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</si>
  <si>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</si>
  <si>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</si>
  <si>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</si>
  <si>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</si>
  <si>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</si>
  <si>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</si>
  <si>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</si>
  <si>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</si>
  <si>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</si>
  <si>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</si>
  <si>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</si>
  <si>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</si>
  <si>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</si>
  <si>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</si>
  <si>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</si>
  <si>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</si>
  <si>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</si>
  <si>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</si>
  <si>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</si>
  <si>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</si>
  <si>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</si>
  <si>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</si>
  <si>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</si>
  <si>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</si>
  <si>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</si>
  <si>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</si>
  <si>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</si>
  <si>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</si>
  <si>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</si>
  <si>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</si>
  <si>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</si>
  <si>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</si>
  <si>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</si>
  <si>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</si>
  <si>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</si>
  <si>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</si>
  <si>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</si>
  <si>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</si>
  <si>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</si>
  <si>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</si>
  <si>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</si>
  <si>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</si>
  <si>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</si>
  <si>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</si>
  <si>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</si>
  <si>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</si>
  <si>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</si>
  <si>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</si>
  <si>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</si>
  <si>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</si>
  <si>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</si>
  <si>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</si>
  <si>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</si>
  <si>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</si>
  <si>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</si>
  <si>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</si>
  <si>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</si>
  <si>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</si>
  <si>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</si>
  <si>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</si>
  <si>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</si>
  <si>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</si>
  <si>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</si>
  <si>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</si>
  <si>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</si>
  <si>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</si>
  <si>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</si>
  <si>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</si>
  <si>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</si>
  <si>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</si>
  <si>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</si>
  <si>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</si>
  <si>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</si>
  <si>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</si>
  <si>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</si>
  <si>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</si>
  <si>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</si>
  <si>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</si>
  <si>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</si>
  <si>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</si>
  <si>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</si>
  <si>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</si>
  <si>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</si>
  <si>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</si>
  <si>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</si>
  <si>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</si>
  <si>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</si>
  <si>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</si>
  <si>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</si>
  <si>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</si>
  <si>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</si>
  <si>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</si>
  <si>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</si>
  <si>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</si>
  <si>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</si>
  <si>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</si>
  <si>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</si>
  <si>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</si>
  <si>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</si>
  <si>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</si>
  <si>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</si>
  <si>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</si>
  <si>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</si>
  <si>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</si>
  <si>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</si>
  <si>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</si>
  <si>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</si>
  <si>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</si>
  <si>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</si>
  <si>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</si>
  <si>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</si>
  <si>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</si>
  <si>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</si>
  <si>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</si>
  <si>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</si>
  <si>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</si>
  <si>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</si>
  <si>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</si>
  <si>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</si>
  <si>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</si>
  <si>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</si>
  <si>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</si>
  <si>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</si>
  <si>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</si>
  <si>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</si>
  <si>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</si>
  <si>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</si>
  <si>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</si>
  <si>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</si>
  <si>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</si>
  <si>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</si>
  <si>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</si>
  <si>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</si>
  <si>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</si>
  <si>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</si>
  <si>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</si>
  <si>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</si>
  <si>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</si>
  <si>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</si>
  <si>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</si>
  <si>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</si>
  <si>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</si>
  <si>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</si>
  <si>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</si>
  <si>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</si>
  <si>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</si>
  <si>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</si>
  <si>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</si>
  <si>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</si>
  <si>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</si>
  <si>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</si>
  <si>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</si>
  <si>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</si>
  <si>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</si>
  <si>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</si>
  <si>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</si>
  <si>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</si>
  <si>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</si>
  <si>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</si>
  <si>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</si>
  <si>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</si>
  <si>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</si>
  <si>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</si>
  <si>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</si>
  <si>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</si>
  <si>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</si>
  <si>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</si>
  <si>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</si>
  <si>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</si>
  <si>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</si>
  <si>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</si>
  <si>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</si>
  <si>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</si>
  <si>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</si>
  <si>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</si>
  <si>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</si>
  <si>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</si>
  <si>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</si>
  <si>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</si>
  <si>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</si>
  <si>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</si>
  <si>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</si>
  <si>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</si>
  <si>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</si>
  <si>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</si>
  <si>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</si>
  <si>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</si>
  <si>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</si>
  <si>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</si>
  <si>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</si>
  <si>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</si>
  <si>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</si>
  <si>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</si>
  <si>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</si>
  <si>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</si>
  <si>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</si>
  <si>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</si>
  <si>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</si>
  <si>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</si>
  <si>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</si>
  <si>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</si>
  <si>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</si>
  <si>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</si>
  <si>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</si>
  <si>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</si>
  <si>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</si>
  <si>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</si>
  <si>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</si>
  <si>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</si>
  <si>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</si>
  <si>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</si>
  <si>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</si>
  <si>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</si>
  <si>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</si>
  <si>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</si>
  <si>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</si>
  <si>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</si>
  <si>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</si>
  <si>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</si>
  <si>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</si>
  <si>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</si>
  <si>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</si>
  <si>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</si>
  <si>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</si>
  <si>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</si>
  <si>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</si>
  <si>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</si>
  <si>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</si>
  <si>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</si>
  <si>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</si>
  <si>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</si>
  <si>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</si>
  <si>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</si>
  <si>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</si>
  <si>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</si>
  <si>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</si>
  <si>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</si>
  <si>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</si>
  <si>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</si>
  <si>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</si>
  <si>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</si>
  <si>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</si>
  <si>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</si>
  <si>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</si>
  <si>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</si>
  <si>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</si>
  <si>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</si>
  <si>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</si>
  <si>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</si>
  <si>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</si>
  <si>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</si>
  <si>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</si>
  <si>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</si>
  <si>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</si>
  <si>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</si>
  <si>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</si>
  <si>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</si>
  <si>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</si>
  <si>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</si>
  <si>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</si>
  <si>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</si>
  <si>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</si>
  <si>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</si>
  <si>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</si>
  <si>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</si>
  <si>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</si>
  <si>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</si>
  <si>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</si>
  <si>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</si>
  <si>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</si>
  <si>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</si>
  <si>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</si>
  <si>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</si>
  <si>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</si>
  <si>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</si>
  <si>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</si>
  <si>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</si>
  <si>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</si>
  <si>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</si>
  <si>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</si>
  <si>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</si>
  <si>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</si>
  <si>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</si>
  <si>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</si>
  <si>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</si>
  <si>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</si>
  <si>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</si>
  <si>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</si>
  <si>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</si>
  <si>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</si>
  <si>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</si>
  <si>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</si>
  <si>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</si>
  <si>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</si>
  <si>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</si>
  <si>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</si>
  <si>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</si>
  <si>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</si>
  <si>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</si>
  <si>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</si>
  <si>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</si>
  <si>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</si>
  <si>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</si>
  <si>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</si>
  <si>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</si>
  <si>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</si>
  <si>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</si>
  <si>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</si>
  <si>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</si>
  <si>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</si>
  <si>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</si>
  <si>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</si>
  <si>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</si>
  <si>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</si>
  <si>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</si>
  <si>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</si>
  <si>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</si>
  <si>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</si>
  <si>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</si>
  <si>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</si>
  <si>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</si>
  <si>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</si>
  <si>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</si>
  <si>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</si>
  <si>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</si>
  <si>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</si>
  <si>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</si>
  <si>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</si>
  <si>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</si>
  <si>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</si>
  <si>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</si>
  <si>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</si>
  <si>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</si>
  <si>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</si>
  <si>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</si>
  <si>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</si>
  <si>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</si>
  <si>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</si>
  <si>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</si>
  <si>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</si>
  <si>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</si>
  <si>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</si>
  <si>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</si>
  <si>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</si>
  <si>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</si>
  <si>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</si>
  <si>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</si>
  <si>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</si>
  <si>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</si>
  <si>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</si>
  <si>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</si>
  <si>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</si>
  <si>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</si>
  <si>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</si>
  <si>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</si>
  <si>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</si>
  <si>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</si>
  <si>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</si>
  <si>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</si>
  <si>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</si>
  <si>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</si>
  <si>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</si>
  <si>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</si>
  <si>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</si>
  <si>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</si>
  <si>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</si>
  <si>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</si>
  <si>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</si>
  <si>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</si>
  <si>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</si>
  <si>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</si>
  <si>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</si>
  <si>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</si>
  <si>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</si>
  <si>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</si>
  <si>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</si>
  <si>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</si>
  <si>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</si>
  <si>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</si>
  <si>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</si>
  <si>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</si>
  <si>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</si>
  <si>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</si>
  <si>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</si>
  <si>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</si>
  <si>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</si>
  <si>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</si>
  <si>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</si>
  <si>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</si>
  <si>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</si>
  <si>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</si>
  <si>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</si>
  <si>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</si>
  <si>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</si>
  <si>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</si>
  <si>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</si>
  <si>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</si>
  <si>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</si>
  <si>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</si>
  <si>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</si>
  <si>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</si>
  <si>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</si>
  <si>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</si>
  <si>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</si>
  <si>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</si>
  <si>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</si>
  <si>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</si>
  <si>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</si>
  <si>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</si>
  <si>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</si>
  <si>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</si>
  <si>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</si>
  <si>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</si>
  <si>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</si>
  <si>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</si>
  <si>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</si>
  <si>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</si>
  <si>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</si>
  <si>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</si>
  <si>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</si>
  <si>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</si>
  <si>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</si>
  <si>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</si>
  <si>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</si>
  <si>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</si>
  <si>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</si>
  <si>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</si>
  <si>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</si>
  <si>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</si>
  <si>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</si>
  <si>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</si>
  <si>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</si>
  <si>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</si>
  <si>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</si>
  <si>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</si>
  <si>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</si>
  <si>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</si>
  <si>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</si>
  <si>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</si>
  <si>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</si>
  <si>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</si>
  <si>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</si>
  <si>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</si>
  <si>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</si>
  <si>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</si>
  <si>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</si>
  <si>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</si>
  <si>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</si>
  <si>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</si>
  <si>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</si>
  <si>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</si>
  <si>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</si>
  <si>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</si>
  <si>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</si>
  <si>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</si>
  <si>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</si>
  <si>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</si>
  <si>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</si>
  <si>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</si>
  <si>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</si>
  <si>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</si>
  <si>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</si>
  <si>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</si>
  <si>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</si>
  <si>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</si>
  <si>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</si>
  <si>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</si>
  <si>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</si>
  <si>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</si>
  <si>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</si>
  <si>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</si>
  <si>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</si>
  <si>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</si>
  <si>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</si>
  <si>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</si>
  <si>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</si>
  <si>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</si>
  <si>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</si>
  <si>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</si>
  <si>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</si>
  <si>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</si>
  <si>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</si>
  <si>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</si>
  <si>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</si>
  <si>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</si>
  <si>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</si>
  <si>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</si>
  <si>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</si>
  <si>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</si>
  <si>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</si>
  <si>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</si>
  <si>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</si>
  <si>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</si>
  <si>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</si>
  <si>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</si>
  <si>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</si>
  <si>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</si>
  <si>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</si>
  <si>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</si>
  <si>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</si>
  <si>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</si>
  <si>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</si>
  <si>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</si>
  <si>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</si>
  <si>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</si>
  <si>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</si>
  <si>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</si>
  <si>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</si>
  <si>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</si>
  <si>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</si>
  <si>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</si>
  <si>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</si>
  <si>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</si>
  <si>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</si>
  <si>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</si>
  <si>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</si>
  <si>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</si>
  <si>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</si>
  <si>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</si>
  <si>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</si>
  <si>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</si>
  <si>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</si>
  <si>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</si>
  <si>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</si>
  <si>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</si>
  <si>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</si>
  <si>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</si>
  <si>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</si>
  <si>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</si>
  <si>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</si>
  <si>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</si>
  <si>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</si>
  <si>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</si>
  <si>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</si>
  <si>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</si>
  <si>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</si>
  <si>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</si>
  <si>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</si>
  <si>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</si>
  <si>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</si>
  <si>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</si>
  <si>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</si>
  <si>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</si>
  <si>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</si>
  <si>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</si>
  <si>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</si>
  <si>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</si>
  <si>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</si>
  <si>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</si>
  <si>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</si>
  <si>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</si>
  <si>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</si>
  <si>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</si>
  <si>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</si>
  <si>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</si>
  <si>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</si>
  <si>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</si>
  <si>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</si>
  <si>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</si>
  <si>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</si>
  <si>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</si>
  <si>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</si>
  <si>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</si>
  <si>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</si>
  <si>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</si>
  <si>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</si>
  <si>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</si>
  <si>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</si>
  <si>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</si>
  <si>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</si>
  <si>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</si>
  <si>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</si>
  <si>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</si>
  <si>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</si>
  <si>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</si>
  <si>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</si>
  <si>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</si>
  <si>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</si>
  <si>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</si>
  <si>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</si>
  <si>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</si>
  <si>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</si>
  <si>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</si>
  <si>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</si>
  <si>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</si>
  <si>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</si>
  <si>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</si>
  <si>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</si>
  <si>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</si>
  <si>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</si>
  <si>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</si>
  <si>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</si>
  <si>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</si>
  <si>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</si>
  <si>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</si>
  <si>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</si>
  <si>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</si>
  <si>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</si>
  <si>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</si>
  <si>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</si>
  <si>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</si>
  <si>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</si>
  <si>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</si>
  <si>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</si>
  <si>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</si>
  <si>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</si>
  <si>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</si>
  <si>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</si>
  <si>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</si>
  <si>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</si>
  <si>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</si>
  <si>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</si>
  <si>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</si>
  <si>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</si>
  <si>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</si>
  <si>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</si>
  <si>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</si>
  <si>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</si>
  <si>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</si>
  <si>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</si>
  <si>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</si>
  <si>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</si>
  <si>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</si>
  <si>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</si>
  <si>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</si>
  <si>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</si>
  <si>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</si>
  <si>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</si>
  <si>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</si>
  <si>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</si>
  <si>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</si>
  <si>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</si>
  <si>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</si>
  <si>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</si>
  <si>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</si>
  <si>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</si>
  <si>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</si>
  <si>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</si>
  <si>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</si>
  <si>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</si>
  <si>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</si>
  <si>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</si>
  <si>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</si>
  <si>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</si>
  <si>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</si>
  <si>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</si>
  <si>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</si>
  <si>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</si>
  <si>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</si>
  <si>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</si>
  <si>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</si>
  <si>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</si>
  <si>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</si>
  <si>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</si>
  <si>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</si>
  <si>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</si>
  <si>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</si>
  <si>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</si>
  <si>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</si>
  <si>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</si>
  <si>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</si>
  <si>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</si>
  <si>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</si>
  <si>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</si>
  <si>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</si>
  <si>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</si>
  <si>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</si>
  <si>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</si>
  <si>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</si>
  <si>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</si>
  <si>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</si>
  <si>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</si>
  <si>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</si>
  <si>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</si>
  <si>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</si>
  <si>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</si>
  <si>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</si>
  <si>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</si>
  <si>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</si>
  <si>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</si>
  <si>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</si>
  <si>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</si>
  <si>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</si>
  <si>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</si>
  <si>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</si>
  <si>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</si>
  <si>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</si>
  <si>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</si>
  <si>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</si>
  <si>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</si>
  <si>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</si>
  <si>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</si>
  <si>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</si>
  <si>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</si>
  <si>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</si>
  <si>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</si>
  <si>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</si>
  <si>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</si>
  <si>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</si>
  <si>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</si>
  <si>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</si>
  <si>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</si>
  <si>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</si>
  <si>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</si>
  <si>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</si>
  <si>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</si>
  <si>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</si>
  <si>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</si>
  <si>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</si>
  <si>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</si>
  <si>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</si>
  <si>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</si>
  <si>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</si>
  <si>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</si>
  <si>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</si>
  <si>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</si>
  <si>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</si>
  <si>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</si>
  <si>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</si>
  <si>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</si>
  <si>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</si>
  <si>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</si>
  <si>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</si>
  <si>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</si>
  <si>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</si>
  <si>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</si>
  <si>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</si>
  <si>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</si>
  <si>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</si>
  <si>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</si>
  <si>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</si>
  <si>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</si>
  <si>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</si>
  <si>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</si>
  <si>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</si>
  <si>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</si>
  <si>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</si>
  <si>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</si>
  <si>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</si>
  <si>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</si>
  <si>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</si>
  <si>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</si>
  <si>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</si>
  <si>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</si>
  <si>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</si>
  <si>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</si>
  <si>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</si>
  <si>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</si>
  <si>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</si>
  <si>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</si>
  <si>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</si>
  <si>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</si>
  <si>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</si>
  <si>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</si>
  <si>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</si>
  <si>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</si>
  <si>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</si>
  <si>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</si>
  <si>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</si>
  <si>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</si>
  <si>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</si>
  <si>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</si>
  <si>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</si>
  <si>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</si>
  <si>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</si>
  <si>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</si>
  <si>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</si>
  <si>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</si>
  <si>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</si>
  <si>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</si>
  <si>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</si>
  <si>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</si>
  <si>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</si>
  <si>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</si>
  <si>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</si>
  <si>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</si>
  <si>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</si>
  <si>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</si>
  <si>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</si>
  <si>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</si>
  <si>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</si>
  <si>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</si>
  <si>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</si>
  <si>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</si>
  <si>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</si>
  <si>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</si>
  <si>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</si>
  <si>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</si>
  <si>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</si>
  <si>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</si>
  <si>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</si>
  <si>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</si>
  <si>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</si>
  <si>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</si>
  <si>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</si>
  <si>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</si>
  <si>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</si>
  <si>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</si>
  <si>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</si>
  <si>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</si>
  <si>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</si>
  <si>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</si>
  <si>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</si>
  <si>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</si>
  <si>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</si>
  <si>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</si>
  <si>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</si>
  <si>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</si>
  <si>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</si>
  <si>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</si>
  <si>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</si>
  <si>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</si>
  <si>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</si>
  <si>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</si>
  <si>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</si>
  <si>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</si>
  <si>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</si>
  <si>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</si>
  <si>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</si>
  <si>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</si>
  <si>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</si>
  <si>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</si>
  <si>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</si>
  <si>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</si>
  <si>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</si>
  <si>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</si>
  <si>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</si>
  <si>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</si>
  <si>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</si>
  <si>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</si>
  <si>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</si>
  <si>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</si>
  <si>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</si>
  <si>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</si>
  <si>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</si>
  <si>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</si>
  <si>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</si>
  <si>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</si>
  <si>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</si>
  <si>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</si>
  <si>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</si>
  <si>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</si>
  <si>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</si>
  <si>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</si>
  <si>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</si>
  <si>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</si>
  <si>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</si>
  <si>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</si>
  <si>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</si>
  <si>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</si>
  <si>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</si>
  <si>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</si>
  <si>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</si>
  <si>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</si>
  <si>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</si>
  <si>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</si>
  <si>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</si>
  <si>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</si>
  <si>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</si>
  <si>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</si>
  <si>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</si>
  <si>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</si>
  <si>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</si>
  <si>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</si>
  <si>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</si>
  <si>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</si>
  <si>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</si>
  <si>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</si>
  <si>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</si>
  <si>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</si>
  <si>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</si>
  <si>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</si>
  <si>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</si>
  <si>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</si>
  <si>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</si>
  <si>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</si>
  <si>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</si>
  <si>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</si>
  <si>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</si>
  <si>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</si>
  <si>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</si>
  <si>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</si>
  <si>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</si>
  <si>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</si>
  <si>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</si>
  <si>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</si>
  <si>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</si>
  <si>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</si>
  <si>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</si>
  <si>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</si>
  <si>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</si>
  <si>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</si>
  <si>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</si>
  <si>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</si>
  <si>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</si>
  <si>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</si>
  <si>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</si>
  <si>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</si>
  <si>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</si>
  <si>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</si>
  <si>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</si>
  <si>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</si>
  <si>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</si>
  <si>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</si>
  <si>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</si>
  <si>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</si>
  <si>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</si>
  <si>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</si>
  <si>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</si>
  <si>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</si>
  <si>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</si>
  <si>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</si>
  <si>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</si>
  <si>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</si>
  <si>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</si>
  <si>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</si>
  <si>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</si>
  <si>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</si>
  <si>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</si>
  <si>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</si>
  <si>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</si>
  <si>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</si>
  <si>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</si>
  <si>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</si>
  <si>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</si>
  <si>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</si>
  <si>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</si>
  <si>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</si>
  <si>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</si>
  <si>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</si>
  <si>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</si>
  <si>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</si>
  <si>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</si>
  <si>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</si>
  <si>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</si>
  <si>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</si>
  <si>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</si>
  <si>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</si>
  <si>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</si>
  <si>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</si>
  <si>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</si>
  <si>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</si>
  <si>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</si>
  <si>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</si>
  <si>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</si>
  <si>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</si>
  <si>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</si>
  <si>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</si>
  <si>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</si>
  <si>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</si>
  <si>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</si>
  <si>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</si>
  <si>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</si>
  <si>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</si>
  <si>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</si>
  <si>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</si>
  <si>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</si>
  <si>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</si>
  <si>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</si>
  <si>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</si>
  <si>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</si>
  <si>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</si>
  <si>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</si>
  <si>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</si>
  <si>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</si>
  <si>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</si>
  <si>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</si>
  <si>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</si>
  <si>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</si>
  <si>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</si>
  <si>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</si>
  <si>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</si>
  <si>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</si>
  <si>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</si>
  <si>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</si>
  <si>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</si>
  <si>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</si>
  <si>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</si>
  <si>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</si>
  <si>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</si>
  <si>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</si>
  <si>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</si>
  <si>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</si>
  <si>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</si>
  <si>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</si>
  <si>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</si>
  <si>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</si>
  <si>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</si>
  <si>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</si>
  <si>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</si>
  <si>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</si>
  <si>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</si>
  <si>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</si>
  <si>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</si>
  <si>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</si>
  <si>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</si>
  <si>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</si>
  <si>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</si>
  <si>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</si>
  <si>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</si>
  <si>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</si>
  <si>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</si>
  <si>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</si>
  <si>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</si>
  <si>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</si>
  <si>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</si>
  <si>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</si>
  <si>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</si>
  <si>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</si>
  <si>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</si>
  <si>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</si>
  <si>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</si>
  <si>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</si>
  <si>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</si>
  <si>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</si>
  <si>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</si>
  <si>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</si>
  <si>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</si>
  <si>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</si>
  <si>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</si>
  <si>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</si>
  <si>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</si>
  <si>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</si>
  <si>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</si>
  <si>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</si>
  <si>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</si>
  <si>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</si>
  <si>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</si>
  <si>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</si>
  <si>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</si>
  <si>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</si>
  <si>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</si>
  <si>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</si>
  <si>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</si>
  <si>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</si>
  <si>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</si>
  <si>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</si>
  <si>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</si>
  <si>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</si>
  <si>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</si>
  <si>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</si>
  <si>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</si>
  <si>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</si>
  <si>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</si>
  <si>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</si>
  <si>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</si>
  <si>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</si>
  <si>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</si>
  <si>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</si>
  <si>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</si>
  <si>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</si>
  <si>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</si>
  <si>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</si>
  <si>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</si>
  <si>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</si>
  <si>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</si>
  <si>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</si>
  <si>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</si>
  <si>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</si>
  <si>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</si>
  <si>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</si>
  <si>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</si>
  <si>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</si>
  <si>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</si>
  <si>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</si>
  <si>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</si>
  <si>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</si>
  <si>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</si>
  <si>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</si>
  <si>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</si>
  <si>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</si>
  <si>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</si>
  <si>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</si>
  <si>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</si>
  <si>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</si>
  <si>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</si>
  <si>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</si>
  <si>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</si>
  <si>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</si>
  <si>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</si>
  <si>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</si>
  <si>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</si>
  <si>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</si>
  <si>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</si>
  <si>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</si>
  <si>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</si>
  <si>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</si>
  <si>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</si>
  <si>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</si>
  <si>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</si>
  <si>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</si>
  <si>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</si>
  <si>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</si>
  <si>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</si>
  <si>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</si>
  <si>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</si>
  <si>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</si>
  <si>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</si>
  <si>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</si>
  <si>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</si>
  <si>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</si>
  <si>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</si>
  <si>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</si>
  <si>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</si>
  <si>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</si>
  <si>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</si>
  <si>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</si>
  <si>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</si>
  <si>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</si>
  <si>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</si>
  <si>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</si>
  <si>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</si>
  <si>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</si>
  <si>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</si>
  <si>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</si>
  <si>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</si>
  <si>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</si>
  <si>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</si>
  <si>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</si>
  <si>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</si>
  <si>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</si>
  <si>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</si>
  <si>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</si>
  <si>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</si>
  <si>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</si>
  <si>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</si>
  <si>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</si>
  <si>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</si>
  <si>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</si>
  <si>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</si>
  <si>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</si>
  <si>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</si>
  <si>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</si>
  <si>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</si>
  <si>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</si>
  <si>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</si>
  <si>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</si>
  <si>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</si>
  <si>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</si>
  <si>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</si>
  <si>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</si>
  <si>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</si>
  <si>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</si>
  <si>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</si>
  <si>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</si>
  <si>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</si>
  <si>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</si>
  <si>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</si>
  <si>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</si>
  <si>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</si>
  <si>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</si>
  <si>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</si>
  <si>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</si>
  <si>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</si>
  <si>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</si>
  <si>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</si>
  <si>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</si>
  <si>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</si>
  <si>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</si>
  <si>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</si>
  <si>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</si>
  <si>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</si>
  <si>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</si>
  <si>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</si>
  <si>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</si>
  <si>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</si>
  <si>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</si>
  <si>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</si>
  <si>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</si>
  <si>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</si>
  <si>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</si>
  <si>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</si>
  <si>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</si>
  <si>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</si>
  <si>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</si>
  <si>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</si>
  <si>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</si>
  <si>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</si>
  <si>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</si>
  <si>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</si>
  <si>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</si>
  <si>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</si>
  <si>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</si>
  <si>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</si>
  <si>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</si>
  <si>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</si>
  <si>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</si>
  <si>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</si>
  <si>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</si>
  <si>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</si>
  <si>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</si>
  <si>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</si>
  <si>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</si>
  <si>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</si>
  <si>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</si>
  <si>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</si>
  <si>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</si>
  <si>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</si>
  <si>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</si>
  <si>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</si>
  <si>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</si>
  <si>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</si>
  <si>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</si>
  <si>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</si>
  <si>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</si>
  <si>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</si>
  <si>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</si>
  <si>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</si>
  <si>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</si>
  <si>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</si>
  <si>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</si>
  <si>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</si>
  <si>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</si>
  <si>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</si>
  <si>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</si>
  <si>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</si>
  <si>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</si>
  <si>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</si>
  <si>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</si>
  <si>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</si>
  <si>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</si>
  <si>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</si>
  <si>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</si>
  <si>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</si>
  <si>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</si>
  <si>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</si>
  <si>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</si>
  <si>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</si>
  <si>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</si>
  <si>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</si>
  <si>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</si>
  <si>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</si>
  <si>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</si>
  <si>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</si>
  <si>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</si>
  <si>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</si>
  <si>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</si>
  <si>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</si>
  <si>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</si>
  <si>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</si>
  <si>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</si>
  <si>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</si>
  <si>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</si>
  <si>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</si>
  <si>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</si>
  <si>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</si>
  <si>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</si>
  <si>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</si>
  <si>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</si>
  <si>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</si>
  <si>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</si>
  <si>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</si>
  <si>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</si>
  <si>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</si>
  <si>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</si>
  <si>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</si>
  <si>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</si>
  <si>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</si>
  <si>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</si>
  <si>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</si>
  <si>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</si>
  <si>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</si>
  <si>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</si>
  <si>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</si>
  <si>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</si>
  <si>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</si>
  <si>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</si>
  <si>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</si>
  <si>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</si>
  <si>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</si>
  <si>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</si>
  <si>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</si>
  <si>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</si>
  <si>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</si>
  <si>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</si>
  <si>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</si>
  <si>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</si>
  <si>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</si>
  <si>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</si>
  <si>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</si>
  <si>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</si>
  <si>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</si>
  <si>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</si>
  <si>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</si>
  <si>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</si>
  <si>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</si>
  <si>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</si>
  <si>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</si>
  <si>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</si>
  <si>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</si>
  <si>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</si>
  <si>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</si>
  <si>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</si>
  <si>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</si>
  <si>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</si>
  <si>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</si>
  <si>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</si>
  <si>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</si>
  <si>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</si>
  <si>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</si>
  <si>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</si>
  <si>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</si>
  <si>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</si>
  <si>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</si>
  <si>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</si>
  <si>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</si>
  <si>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</si>
  <si>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</si>
  <si>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</si>
  <si>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</si>
  <si>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</si>
  <si>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</si>
  <si>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</si>
  <si>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</si>
  <si>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</si>
  <si>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</si>
  <si>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</si>
  <si>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</si>
  <si>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</si>
  <si>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</si>
  <si>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</si>
  <si>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</si>
  <si>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</si>
  <si>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</si>
  <si>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</si>
  <si>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</si>
  <si>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</si>
  <si>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</si>
  <si>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</si>
  <si>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</si>
  <si>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</si>
  <si>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</si>
  <si>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</si>
  <si>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</si>
  <si>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</si>
  <si>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</si>
  <si>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</si>
  <si>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</si>
  <si>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</si>
  <si>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</si>
  <si>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</si>
  <si>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</si>
  <si>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</si>
  <si>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</si>
  <si>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</si>
  <si>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</si>
  <si>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</si>
  <si>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</si>
  <si>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</si>
  <si>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</si>
  <si>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</si>
  <si>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</si>
  <si>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</si>
  <si>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</si>
  <si>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</si>
  <si>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</si>
  <si>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</si>
  <si>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</si>
  <si>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</si>
  <si>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</si>
  <si>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</si>
  <si>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</si>
  <si>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</si>
  <si>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</si>
  <si>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</si>
  <si>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</si>
  <si>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</si>
  <si>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</si>
  <si>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</si>
  <si>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</si>
  <si>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</si>
  <si>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</si>
  <si>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</si>
  <si>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</si>
  <si>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</si>
  <si>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</si>
  <si>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</si>
  <si>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</si>
  <si>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</si>
  <si>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</si>
  <si>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</si>
  <si>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</si>
  <si>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</si>
  <si>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</si>
  <si>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</si>
  <si>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</si>
  <si>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</si>
  <si>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</si>
  <si>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</si>
  <si>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</si>
  <si>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</si>
  <si>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</si>
  <si>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</si>
  <si>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</si>
  <si>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</si>
  <si>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</si>
  <si>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</si>
  <si>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</si>
  <si>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</si>
  <si>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</si>
  <si>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</si>
  <si>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</si>
  <si>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</si>
  <si>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</si>
  <si>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</si>
  <si>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</si>
  <si>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</si>
  <si>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</si>
  <si>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</si>
  <si>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</si>
  <si>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</si>
  <si>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</si>
  <si>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</si>
  <si>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</si>
  <si>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</si>
  <si>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</si>
  <si>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</si>
  <si>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</si>
  <si>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</si>
  <si>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</si>
  <si>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</si>
  <si>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</si>
  <si>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</si>
  <si>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</si>
  <si>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</si>
  <si>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</si>
  <si>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</si>
  <si>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</si>
  <si>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</si>
  <si>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</si>
  <si>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</si>
  <si>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</si>
  <si>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</si>
  <si>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</si>
  <si>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</si>
  <si>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</si>
  <si>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</si>
  <si>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</si>
  <si>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</si>
  <si>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</si>
  <si>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</si>
  <si>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</si>
  <si>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</si>
  <si>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</si>
  <si>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</si>
  <si>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</si>
  <si>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</si>
  <si>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</si>
  <si>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</si>
  <si>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</si>
  <si>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</si>
  <si>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</si>
  <si>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</si>
  <si>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</si>
  <si>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</si>
  <si>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</si>
  <si>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</si>
  <si>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</si>
  <si>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</si>
  <si>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</si>
  <si>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</si>
  <si>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</si>
  <si>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</si>
  <si>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</si>
  <si>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</si>
  <si>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</si>
  <si>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</si>
  <si>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</si>
  <si>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</si>
  <si>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</si>
  <si>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</si>
  <si>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</si>
  <si>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</si>
  <si>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</si>
  <si>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</si>
  <si>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</si>
  <si>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</si>
  <si>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</si>
  <si>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</si>
  <si>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</si>
  <si>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</si>
  <si>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</si>
  <si>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</si>
  <si>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</si>
  <si>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</si>
  <si>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</si>
  <si>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</si>
  <si>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</si>
  <si>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</si>
  <si>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</si>
  <si>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</si>
  <si>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</si>
  <si>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</si>
  <si>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</si>
  <si>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</si>
  <si>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</si>
  <si>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</si>
  <si>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</si>
  <si>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</si>
  <si>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</si>
  <si>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</si>
  <si>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</si>
  <si>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</si>
  <si>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</si>
  <si>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</si>
  <si>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</si>
  <si>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</si>
  <si>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</si>
  <si>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</si>
  <si>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</si>
  <si>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</si>
  <si>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</si>
  <si>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</si>
  <si>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</si>
  <si>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</si>
  <si>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</si>
  <si>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</si>
  <si>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</si>
  <si>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</si>
  <si>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</si>
  <si>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</si>
  <si>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</si>
  <si>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</si>
  <si>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H025</t>
  </si>
  <si>
    <t>H026</t>
  </si>
  <si>
    <t>H027</t>
  </si>
  <si>
    <t>H028</t>
  </si>
  <si>
    <t>H029</t>
  </si>
  <si>
    <t>H030</t>
  </si>
  <si>
    <t>H031</t>
  </si>
  <si>
    <t>H032</t>
  </si>
  <si>
    <t>H033</t>
  </si>
  <si>
    <t>H034</t>
  </si>
  <si>
    <t>H035</t>
  </si>
  <si>
    <t>H036</t>
  </si>
  <si>
    <t>H037</t>
  </si>
  <si>
    <t>H038</t>
  </si>
  <si>
    <t>H039</t>
  </si>
  <si>
    <t>H040</t>
  </si>
  <si>
    <t>H041</t>
  </si>
  <si>
    <t>H042</t>
  </si>
  <si>
    <t>H043</t>
  </si>
  <si>
    <t>H044</t>
  </si>
  <si>
    <t>H045</t>
  </si>
  <si>
    <t>H046</t>
  </si>
  <si>
    <t>H047</t>
  </si>
  <si>
    <t>H048</t>
  </si>
  <si>
    <t>H049</t>
  </si>
  <si>
    <t>H050</t>
  </si>
  <si>
    <t>H051</t>
  </si>
  <si>
    <t>H052</t>
  </si>
  <si>
    <t>H053</t>
  </si>
  <si>
    <t>H054</t>
  </si>
  <si>
    <t>H055</t>
  </si>
  <si>
    <t>H056</t>
  </si>
  <si>
    <t>H057</t>
  </si>
  <si>
    <t>H058</t>
  </si>
  <si>
    <t>H059</t>
  </si>
  <si>
    <t>H060</t>
  </si>
  <si>
    <t>H061</t>
  </si>
  <si>
    <t>H062</t>
  </si>
  <si>
    <t>H063</t>
  </si>
  <si>
    <t>H064</t>
  </si>
  <si>
    <t>H065</t>
  </si>
  <si>
    <t>H066</t>
  </si>
  <si>
    <t>H067</t>
  </si>
  <si>
    <t>H068</t>
  </si>
  <si>
    <t>H069</t>
  </si>
  <si>
    <t>H070</t>
  </si>
  <si>
    <t>H071</t>
  </si>
  <si>
    <t>H072</t>
  </si>
  <si>
    <t>H073</t>
  </si>
  <si>
    <t>H074</t>
  </si>
  <si>
    <t>H075</t>
  </si>
  <si>
    <t>H076</t>
  </si>
  <si>
    <t>H077</t>
  </si>
  <si>
    <t>H078</t>
  </si>
  <si>
    <t>H079</t>
  </si>
  <si>
    <t>H080</t>
  </si>
  <si>
    <t>H081</t>
  </si>
  <si>
    <t>H082</t>
  </si>
  <si>
    <t>H083</t>
  </si>
  <si>
    <t>H084</t>
  </si>
  <si>
    <t>H085</t>
  </si>
  <si>
    <t>H086</t>
  </si>
  <si>
    <t>H087</t>
  </si>
  <si>
    <t>H088</t>
  </si>
  <si>
    <t>H089</t>
  </si>
  <si>
    <t>H090</t>
  </si>
  <si>
    <t>H091</t>
  </si>
  <si>
    <t>H092</t>
  </si>
  <si>
    <t>H093</t>
  </si>
  <si>
    <t>H094</t>
  </si>
  <si>
    <t>H095</t>
  </si>
  <si>
    <t>H096</t>
  </si>
  <si>
    <t>H097</t>
  </si>
  <si>
    <t>H098</t>
  </si>
  <si>
    <t>H099</t>
  </si>
  <si>
    <t>H100</t>
  </si>
  <si>
    <t>H101</t>
  </si>
  <si>
    <t>H102</t>
  </si>
  <si>
    <t>H103</t>
  </si>
  <si>
    <t>H104</t>
  </si>
  <si>
    <t>H105</t>
  </si>
  <si>
    <t>H106</t>
  </si>
  <si>
    <t>H107</t>
  </si>
  <si>
    <t>H108</t>
  </si>
  <si>
    <t>H109</t>
  </si>
  <si>
    <t>H110</t>
  </si>
  <si>
    <t>H111</t>
  </si>
  <si>
    <t>H112</t>
  </si>
  <si>
    <t>H113</t>
  </si>
  <si>
    <t>H114</t>
  </si>
  <si>
    <t>H115</t>
  </si>
  <si>
    <t>H116</t>
  </si>
  <si>
    <t>H117</t>
  </si>
  <si>
    <t>H118</t>
  </si>
  <si>
    <t>H119</t>
  </si>
  <si>
    <t>H120</t>
  </si>
  <si>
    <t>H121</t>
  </si>
  <si>
    <t>H122</t>
  </si>
  <si>
    <t>H123</t>
  </si>
  <si>
    <t>H124</t>
  </si>
  <si>
    <t>H125</t>
  </si>
  <si>
    <t>H126</t>
  </si>
  <si>
    <t>H127</t>
  </si>
  <si>
    <t>H128</t>
  </si>
  <si>
    <t>H129</t>
  </si>
  <si>
    <t>H130</t>
  </si>
  <si>
    <t>H131</t>
  </si>
  <si>
    <t>H132</t>
  </si>
  <si>
    <t>H133</t>
  </si>
  <si>
    <t>H134</t>
  </si>
  <si>
    <t>H135</t>
  </si>
  <si>
    <t>H136</t>
  </si>
  <si>
    <t>H137</t>
  </si>
  <si>
    <t>H138</t>
  </si>
  <si>
    <t>H139</t>
  </si>
  <si>
    <t>H140</t>
  </si>
  <si>
    <t>H141</t>
  </si>
  <si>
    <t>H142</t>
  </si>
  <si>
    <t>H143</t>
  </si>
  <si>
    <t>H144</t>
  </si>
  <si>
    <t>H145</t>
  </si>
  <si>
    <t>H146</t>
  </si>
  <si>
    <t>H147</t>
  </si>
  <si>
    <t>H148</t>
  </si>
  <si>
    <t>H149</t>
  </si>
  <si>
    <t>H150</t>
  </si>
  <si>
    <t>H151</t>
  </si>
  <si>
    <t>H152</t>
  </si>
  <si>
    <t>H153</t>
  </si>
  <si>
    <t>H154</t>
  </si>
  <si>
    <t>H155</t>
  </si>
  <si>
    <t>H156</t>
  </si>
  <si>
    <t>H157</t>
  </si>
  <si>
    <t>H158</t>
  </si>
  <si>
    <t>H159</t>
  </si>
  <si>
    <t>H160</t>
  </si>
  <si>
    <t>H161</t>
  </si>
  <si>
    <t>H162</t>
  </si>
  <si>
    <t>H163</t>
  </si>
  <si>
    <t>H164</t>
  </si>
  <si>
    <t>H165</t>
  </si>
  <si>
    <t>H166</t>
  </si>
  <si>
    <t>H167</t>
  </si>
  <si>
    <t>H168</t>
  </si>
  <si>
    <t>H169</t>
  </si>
  <si>
    <t>H170</t>
  </si>
  <si>
    <t>H171</t>
  </si>
  <si>
    <t>H172</t>
  </si>
  <si>
    <t>H173</t>
  </si>
  <si>
    <t>H174</t>
  </si>
  <si>
    <t>H175</t>
  </si>
  <si>
    <t>H176</t>
  </si>
  <si>
    <t>H177</t>
  </si>
  <si>
    <t>H178</t>
  </si>
  <si>
    <t>H179</t>
  </si>
  <si>
    <t>H180</t>
  </si>
  <si>
    <t>H181</t>
  </si>
  <si>
    <t>H182</t>
  </si>
  <si>
    <t>H183</t>
  </si>
  <si>
    <t>H184</t>
  </si>
  <si>
    <t>H185</t>
  </si>
  <si>
    <t>H186</t>
  </si>
  <si>
    <t>H187</t>
  </si>
  <si>
    <t>H188</t>
  </si>
  <si>
    <t>H189</t>
  </si>
  <si>
    <t>H190</t>
  </si>
  <si>
    <t>H191</t>
  </si>
  <si>
    <t>H192</t>
  </si>
  <si>
    <t>H193</t>
  </si>
  <si>
    <t>H194</t>
  </si>
  <si>
    <t>H195</t>
  </si>
  <si>
    <t>H196</t>
  </si>
  <si>
    <t>H197</t>
  </si>
  <si>
    <t>H198</t>
  </si>
  <si>
    <t>H199</t>
  </si>
  <si>
    <t>H200</t>
  </si>
  <si>
    <t>H201</t>
  </si>
  <si>
    <t>H202</t>
  </si>
  <si>
    <t>H203</t>
  </si>
  <si>
    <t>H204</t>
  </si>
  <si>
    <t>H205</t>
  </si>
  <si>
    <t>H206</t>
  </si>
  <si>
    <t>H207</t>
  </si>
  <si>
    <t>H208</t>
  </si>
  <si>
    <t>H209</t>
  </si>
  <si>
    <t>H210</t>
  </si>
  <si>
    <t>H211</t>
  </si>
  <si>
    <t>H212</t>
  </si>
  <si>
    <t>H213</t>
  </si>
  <si>
    <t>H214</t>
  </si>
  <si>
    <t>H215</t>
  </si>
  <si>
    <t>H216</t>
  </si>
  <si>
    <t>H217</t>
  </si>
  <si>
    <t>H218</t>
  </si>
  <si>
    <t>H219</t>
  </si>
  <si>
    <t>H220</t>
  </si>
  <si>
    <t>H221</t>
  </si>
  <si>
    <t>H222</t>
  </si>
  <si>
    <t>H223</t>
  </si>
  <si>
    <t>H224</t>
  </si>
  <si>
    <t>H225</t>
  </si>
  <si>
    <t>H226</t>
  </si>
  <si>
    <t>H227</t>
  </si>
  <si>
    <t>H228</t>
  </si>
  <si>
    <t>H229</t>
  </si>
  <si>
    <t>H230</t>
  </si>
  <si>
    <t>H231</t>
  </si>
  <si>
    <t>H232</t>
  </si>
  <si>
    <t>H233</t>
  </si>
  <si>
    <t>H234</t>
  </si>
  <si>
    <t>H235</t>
  </si>
  <si>
    <t>H236</t>
  </si>
  <si>
    <t>H237</t>
  </si>
  <si>
    <t>H238</t>
  </si>
  <si>
    <t>H239</t>
  </si>
  <si>
    <t>H240</t>
  </si>
  <si>
    <t>H241</t>
  </si>
  <si>
    <t>H242</t>
  </si>
  <si>
    <t>H243</t>
  </si>
  <si>
    <t>H244</t>
  </si>
  <si>
    <t>H245</t>
  </si>
  <si>
    <t>H246</t>
  </si>
  <si>
    <t>H247</t>
  </si>
  <si>
    <t>H248</t>
  </si>
  <si>
    <t>H249</t>
  </si>
  <si>
    <t>H250</t>
  </si>
  <si>
    <t>H251</t>
  </si>
  <si>
    <t>H252</t>
  </si>
  <si>
    <t>H253</t>
  </si>
  <si>
    <t>H254</t>
  </si>
  <si>
    <t>H255</t>
  </si>
  <si>
    <t>H256</t>
  </si>
  <si>
    <t>H257</t>
  </si>
  <si>
    <t>H258</t>
  </si>
  <si>
    <t>H259</t>
  </si>
  <si>
    <t>H260</t>
  </si>
  <si>
    <t>H261</t>
  </si>
  <si>
    <t>H262</t>
  </si>
  <si>
    <t>H263</t>
  </si>
  <si>
    <t>H264</t>
  </si>
  <si>
    <t>H265</t>
  </si>
  <si>
    <t>H266</t>
  </si>
  <si>
    <t>H267</t>
  </si>
  <si>
    <t>H268</t>
  </si>
  <si>
    <t>H269</t>
  </si>
  <si>
    <t>H270</t>
  </si>
  <si>
    <t>H271</t>
  </si>
  <si>
    <t>H272</t>
  </si>
  <si>
    <t>H273</t>
  </si>
  <si>
    <t>H274</t>
  </si>
  <si>
    <t>H275</t>
  </si>
  <si>
    <t>H276</t>
  </si>
  <si>
    <t>H277</t>
  </si>
  <si>
    <t>H278</t>
  </si>
  <si>
    <t>H279</t>
  </si>
  <si>
    <t>H280</t>
  </si>
  <si>
    <t>H281</t>
  </si>
  <si>
    <t>H282</t>
  </si>
  <si>
    <t>H283</t>
  </si>
  <si>
    <t>H284</t>
  </si>
  <si>
    <t>H285</t>
  </si>
  <si>
    <t>H286</t>
  </si>
  <si>
    <t>H287</t>
  </si>
  <si>
    <t>H288</t>
  </si>
  <si>
    <t>H289</t>
  </si>
  <si>
    <t>H290</t>
  </si>
  <si>
    <t>H291</t>
  </si>
  <si>
    <t>H292</t>
  </si>
  <si>
    <t>H293</t>
  </si>
  <si>
    <t>H294</t>
  </si>
  <si>
    <t>H295</t>
  </si>
  <si>
    <t>H296</t>
  </si>
  <si>
    <t>H297</t>
  </si>
  <si>
    <t>H298</t>
  </si>
  <si>
    <t>H299</t>
  </si>
  <si>
    <t>H300</t>
  </si>
  <si>
    <t>H301</t>
  </si>
  <si>
    <t>H302</t>
  </si>
  <si>
    <t>H303</t>
  </si>
  <si>
    <t>H304</t>
  </si>
  <si>
    <t>H305</t>
  </si>
  <si>
    <t>H306</t>
  </si>
  <si>
    <t>H307</t>
  </si>
  <si>
    <t>H308</t>
  </si>
  <si>
    <t>H309</t>
  </si>
  <si>
    <t>H310</t>
  </si>
  <si>
    <t>H311</t>
  </si>
  <si>
    <t>H312</t>
  </si>
  <si>
    <t>H313</t>
  </si>
  <si>
    <t>H314</t>
  </si>
  <si>
    <t>H315</t>
  </si>
  <si>
    <t>H316</t>
  </si>
  <si>
    <t>H317</t>
  </si>
  <si>
    <t>H318</t>
  </si>
  <si>
    <t>H319</t>
  </si>
  <si>
    <t>H320</t>
  </si>
  <si>
    <t>H321</t>
  </si>
  <si>
    <t>H322</t>
  </si>
  <si>
    <t>H323</t>
  </si>
  <si>
    <t>H324</t>
  </si>
  <si>
    <t>H325</t>
  </si>
  <si>
    <t>H326</t>
  </si>
  <si>
    <t>H327</t>
  </si>
  <si>
    <t>H328</t>
  </si>
  <si>
    <t>H329</t>
  </si>
  <si>
    <t>H330</t>
  </si>
  <si>
    <t>H331</t>
  </si>
  <si>
    <t>H332</t>
  </si>
  <si>
    <t>H333</t>
  </si>
  <si>
    <t>H334</t>
  </si>
  <si>
    <t>H335</t>
  </si>
  <si>
    <t>H336</t>
  </si>
  <si>
    <t>H337</t>
  </si>
  <si>
    <t>H338</t>
  </si>
  <si>
    <t>H339</t>
  </si>
  <si>
    <t>H340</t>
  </si>
  <si>
    <t>H341</t>
  </si>
  <si>
    <t>H342</t>
  </si>
  <si>
    <t>H343</t>
  </si>
  <si>
    <t>H344</t>
  </si>
  <si>
    <t>H345</t>
  </si>
  <si>
    <t>H346</t>
  </si>
  <si>
    <t>H347</t>
  </si>
  <si>
    <t>H348</t>
  </si>
  <si>
    <t>H349</t>
  </si>
  <si>
    <t>H350</t>
  </si>
  <si>
    <t>H351</t>
  </si>
  <si>
    <t>H352</t>
  </si>
  <si>
    <t>H353</t>
  </si>
  <si>
    <t>H354</t>
  </si>
  <si>
    <t>H355</t>
  </si>
  <si>
    <t>H356</t>
  </si>
  <si>
    <t>H357</t>
  </si>
  <si>
    <t>H358</t>
  </si>
  <si>
    <t>H359</t>
  </si>
  <si>
    <t>H360</t>
  </si>
  <si>
    <t>H361</t>
  </si>
  <si>
    <t>H362</t>
  </si>
  <si>
    <t>H363</t>
  </si>
  <si>
    <t>H364</t>
  </si>
  <si>
    <t>H365</t>
  </si>
  <si>
    <t>H366</t>
  </si>
  <si>
    <t>H367</t>
  </si>
  <si>
    <t>H368</t>
  </si>
  <si>
    <t>H369</t>
  </si>
  <si>
    <t>H370</t>
  </si>
  <si>
    <t>H371</t>
  </si>
  <si>
    <t>H372</t>
  </si>
  <si>
    <t>H373</t>
  </si>
  <si>
    <t>H374</t>
  </si>
  <si>
    <t>H375</t>
  </si>
  <si>
    <t>H376</t>
  </si>
  <si>
    <t>H377</t>
  </si>
  <si>
    <t>H378</t>
  </si>
  <si>
    <t>H379</t>
  </si>
  <si>
    <t>H380</t>
  </si>
  <si>
    <t>H381</t>
  </si>
  <si>
    <t>H382</t>
  </si>
  <si>
    <t>H383</t>
  </si>
  <si>
    <t>H384</t>
  </si>
  <si>
    <t>H385</t>
  </si>
  <si>
    <t>H386</t>
  </si>
  <si>
    <t>H387</t>
  </si>
  <si>
    <t>H388</t>
  </si>
  <si>
    <t>H389</t>
  </si>
  <si>
    <t>H390</t>
  </si>
  <si>
    <t>H391</t>
  </si>
  <si>
    <t>H392</t>
  </si>
  <si>
    <t>H393</t>
  </si>
  <si>
    <t>H394</t>
  </si>
  <si>
    <t>H395</t>
  </si>
  <si>
    <t>H396</t>
  </si>
  <si>
    <t>H397</t>
  </si>
  <si>
    <t>H398</t>
  </si>
  <si>
    <t>H399</t>
  </si>
  <si>
    <t>H400</t>
  </si>
  <si>
    <t>H401</t>
  </si>
  <si>
    <t>H402</t>
  </si>
  <si>
    <t>H403</t>
  </si>
  <si>
    <t>H404</t>
  </si>
  <si>
    <t>H405</t>
  </si>
  <si>
    <t>H406</t>
  </si>
  <si>
    <t>H407</t>
  </si>
  <si>
    <t>H408</t>
  </si>
  <si>
    <t>H409</t>
  </si>
  <si>
    <t>H410</t>
  </si>
  <si>
    <t>H411</t>
  </si>
  <si>
    <t>H412</t>
  </si>
  <si>
    <t>H413</t>
  </si>
  <si>
    <t>H414</t>
  </si>
  <si>
    <t>H415</t>
  </si>
  <si>
    <t>H416</t>
  </si>
  <si>
    <t>H417</t>
  </si>
  <si>
    <t>H418</t>
  </si>
  <si>
    <t>H419</t>
  </si>
  <si>
    <t>H420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</si>
  <si>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</si>
  <si>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</si>
  <si>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</si>
  <si>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</si>
  <si>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</si>
  <si>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</si>
  <si>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</si>
  <si>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</si>
  <si>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</si>
  <si>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</si>
  <si>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</si>
  <si>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</si>
  <si>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</si>
  <si>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</si>
  <si>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</si>
  <si>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</si>
  <si>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</si>
  <si>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</si>
  <si>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</si>
  <si>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</si>
  <si>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</si>
  <si>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</si>
  <si>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</si>
  <si>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</si>
  <si>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</si>
  <si>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</si>
  <si>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</si>
  <si>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</si>
  <si>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</si>
  <si>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</si>
  <si>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</si>
  <si>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</si>
  <si>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</si>
  <si>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</si>
  <si>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</si>
  <si>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</si>
  <si>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</si>
  <si>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</si>
  <si>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</si>
  <si>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</si>
  <si>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</si>
  <si>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</si>
  <si>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</si>
  <si>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</si>
  <si>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</si>
  <si>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</si>
  <si>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</si>
  <si>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</si>
  <si>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</si>
  <si>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</si>
  <si>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</si>
  <si>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</si>
  <si>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</si>
  <si>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</si>
  <si>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</si>
  <si>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</si>
  <si>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</si>
  <si>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</si>
  <si>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</si>
  <si>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</si>
  <si>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</si>
  <si>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</si>
  <si>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</si>
  <si>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</si>
  <si>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</si>
  <si>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</si>
  <si>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</si>
  <si>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</si>
  <si>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</si>
  <si>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</si>
  <si>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</si>
  <si>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</si>
  <si>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</si>
  <si>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</si>
  <si>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</si>
  <si>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</si>
  <si>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</si>
  <si>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</si>
  <si>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</si>
  <si>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</si>
  <si>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</si>
  <si>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</si>
  <si>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</si>
  <si>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</si>
  <si>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</si>
  <si>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</si>
  <si>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</si>
  <si>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</si>
  <si>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</si>
  <si>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</si>
  <si>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</si>
  <si>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</si>
  <si>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</si>
  <si>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</si>
  <si>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</si>
  <si>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</si>
  <si>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</si>
  <si>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</si>
  <si>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</si>
  <si>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</si>
  <si>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</si>
  <si>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</si>
  <si>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</si>
  <si>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</si>
  <si>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</si>
  <si>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</si>
  <si>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</si>
  <si>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</si>
  <si>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</si>
  <si>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</si>
  <si>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</si>
  <si>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</si>
  <si>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</si>
  <si>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</si>
  <si>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</si>
  <si>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</si>
  <si>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</si>
  <si>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</si>
  <si>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</si>
  <si>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</si>
  <si>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</si>
  <si>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</si>
  <si>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</si>
  <si>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</si>
  <si>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</si>
  <si>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</si>
  <si>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</si>
  <si>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</si>
  <si>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</si>
  <si>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</si>
  <si>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</si>
  <si>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</si>
  <si>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</si>
  <si>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</si>
  <si>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</si>
  <si>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</si>
  <si>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</si>
  <si>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</si>
  <si>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</si>
  <si>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</si>
  <si>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</si>
  <si>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</si>
  <si>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</si>
  <si>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</si>
  <si>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</si>
  <si>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</si>
  <si>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</si>
  <si>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</si>
  <si>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</si>
  <si>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</si>
  <si>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</si>
  <si>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</si>
  <si>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</si>
  <si>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</si>
  <si>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</si>
  <si>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</si>
  <si>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</si>
  <si>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</si>
  <si>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</si>
  <si>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</si>
  <si>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</si>
  <si>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</si>
  <si>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</si>
  <si>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</si>
  <si>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</si>
  <si>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</si>
  <si>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</si>
  <si>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</si>
  <si>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</si>
  <si>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</si>
  <si>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</si>
  <si>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</si>
  <si>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</si>
  <si>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</si>
  <si>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</si>
  <si>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</si>
  <si>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</si>
  <si>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</si>
  <si>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</si>
  <si>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</si>
  <si>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</si>
  <si>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</si>
  <si>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</si>
  <si>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</si>
  <si>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</si>
  <si>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</si>
  <si>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</si>
  <si>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</si>
  <si>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</si>
  <si>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</si>
  <si>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</si>
  <si>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</si>
  <si>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</si>
  <si>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</si>
  <si>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</si>
  <si>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</si>
  <si>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</si>
  <si>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</si>
  <si>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</si>
  <si>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</si>
  <si>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</si>
  <si>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</si>
  <si>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</si>
  <si>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</si>
  <si>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</si>
  <si>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</si>
  <si>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</si>
  <si>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</si>
  <si>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</si>
  <si>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</si>
  <si>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</si>
  <si>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</si>
  <si>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</si>
  <si>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</si>
  <si>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</si>
  <si>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</si>
  <si>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</si>
  <si>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</si>
  <si>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</si>
  <si>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</si>
  <si>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</si>
  <si>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</si>
  <si>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</si>
  <si>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</si>
  <si>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</si>
  <si>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</si>
  <si>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</si>
  <si>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</si>
  <si>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</si>
  <si>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</si>
  <si>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</si>
  <si>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</si>
  <si>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</si>
  <si>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</si>
  <si>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</si>
  <si>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</si>
  <si>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</si>
  <si>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</si>
  <si>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</si>
  <si>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</si>
  <si>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</si>
  <si>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</si>
  <si>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</si>
  <si>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</si>
  <si>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</si>
  <si>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</si>
  <si>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</si>
  <si>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</si>
  <si>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</si>
  <si>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</si>
  <si>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</si>
  <si>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</si>
  <si>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</si>
  <si>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</si>
  <si>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</si>
  <si>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</si>
  <si>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</si>
  <si>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</si>
  <si>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</si>
  <si>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</si>
  <si>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</si>
  <si>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</si>
  <si>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</si>
  <si>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</si>
  <si>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</si>
  <si>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</si>
  <si>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</si>
  <si>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</si>
  <si>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</si>
  <si>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</si>
  <si>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</si>
  <si>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</si>
  <si>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</si>
  <si>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</si>
  <si>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</si>
  <si>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</si>
  <si>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</si>
  <si>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</si>
  <si>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</si>
  <si>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</si>
  <si>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</si>
  <si>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</si>
  <si>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</si>
  <si>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</si>
  <si>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</si>
  <si>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</si>
  <si>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</si>
  <si>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</si>
  <si>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</si>
  <si>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</si>
  <si>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</si>
  <si>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</si>
  <si>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</si>
  <si>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</si>
  <si>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</si>
  <si>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</si>
  <si>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</si>
  <si>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</si>
  <si>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</si>
  <si>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</si>
  <si>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</si>
  <si>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</si>
  <si>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</si>
  <si>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</si>
  <si>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</si>
  <si>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</si>
  <si>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</si>
  <si>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</si>
  <si>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</si>
  <si>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</si>
  <si>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</si>
  <si>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</si>
  <si>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</si>
  <si>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</si>
  <si>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</si>
  <si>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</si>
  <si>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</si>
  <si>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</si>
  <si>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</si>
  <si>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</si>
  <si>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</si>
  <si>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</si>
  <si>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</si>
  <si>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</si>
  <si>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</si>
  <si>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</si>
  <si>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</si>
  <si>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</si>
  <si>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</si>
  <si>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</si>
  <si>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</si>
  <si>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</si>
  <si>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</si>
  <si>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</si>
  <si>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</si>
  <si>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</si>
  <si>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</si>
  <si>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</si>
  <si>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</si>
  <si>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</si>
  <si>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</si>
  <si>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</si>
  <si>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</si>
  <si>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</si>
  <si>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</si>
  <si>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</si>
  <si>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</si>
  <si>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</si>
  <si>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</si>
  <si>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</si>
  <si>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</si>
  <si>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</si>
  <si>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</si>
  <si>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</si>
  <si>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</si>
  <si>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</si>
  <si>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</si>
  <si>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</si>
  <si>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</si>
  <si>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</si>
  <si>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</si>
  <si>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</si>
  <si>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</si>
  <si>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</si>
  <si>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</si>
  <si>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</si>
  <si>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</si>
  <si>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</si>
  <si>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</si>
  <si>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</si>
  <si>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</si>
  <si>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</si>
  <si>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</si>
  <si>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</si>
  <si>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</si>
  <si>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</si>
  <si>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</si>
  <si>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</si>
  <si>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</si>
  <si>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</si>
  <si>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</si>
  <si>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</si>
  <si>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</si>
  <si>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</si>
  <si>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</si>
  <si>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</si>
  <si>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</si>
  <si>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</si>
  <si>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</si>
  <si>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</si>
  <si>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</si>
  <si>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</si>
  <si>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</si>
  <si>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</si>
  <si>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</si>
  <si>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</si>
  <si>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</si>
  <si>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</si>
  <si>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</si>
  <si>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</si>
  <si>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</si>
  <si>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</si>
  <si>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</si>
  <si>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</si>
  <si>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</si>
  <si>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</si>
  <si>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</si>
  <si>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</si>
  <si>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</si>
  <si>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</si>
  <si>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</si>
  <si>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</si>
  <si>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</si>
  <si>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</si>
  <si>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</si>
  <si>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</si>
  <si>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</si>
  <si>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</si>
  <si>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</si>
  <si>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</si>
  <si>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</si>
  <si>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To do</t>
  </si>
  <si>
    <t>H000001071</t>
  </si>
  <si>
    <t xml:space="preserve">H00000868 </t>
  </si>
  <si>
    <t>FR7864413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</si>
</sst>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  <xf numFmtId="0" fontId="0" fillId="0" borderId="0" xfId="0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86" totalsRowShown="0">
  <sortState xmlns:xlrd2="http://schemas.microsoft.com/office/spreadsheetml/2017/richdata2" ref="A116:M1363">
    <sortCondition ref="D1:D1363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86"/>
  <sheetViews>
    <sheetView tabSelected="1" topLeftCell="A1731" workbookViewId="0">
      <selection activeCell="J1786" sqref="J1786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15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ref="A116:A179" si="2">1+A115</f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2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2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2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2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2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2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2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2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2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2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2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2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2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2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si="2"/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ref="A180:A243" si="3">1+A179</f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3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3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3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3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3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3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3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3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3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3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3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3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3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3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si="3"/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ref="A244:A307" si="4">1+A243</f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4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4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4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4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4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4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4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4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4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4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4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4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4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4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si="4"/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ref="A308:A371" si="5">1+A307</f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5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5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5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5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5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5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5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5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5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5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5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5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5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5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si="5"/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ref="A372:A435" si="6">1+A371</f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6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6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6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6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6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6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6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6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6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6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6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6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6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6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si="6"/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ref="A436:A499" si="7">1+A435</f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7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7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7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7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7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7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7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7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7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7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7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7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7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7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si="7"/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ref="A500:A563" si="8">1+A499</f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8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8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8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8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8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8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8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8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8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8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8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8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8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8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si="8"/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63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36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ref="A564:A627" si="9">1+A563</f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9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9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9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9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9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9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9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9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9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9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9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9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9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9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si="9"/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ref="A628:A691" si="10">1+A627</f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10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10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10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10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10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10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10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10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10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10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10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10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10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10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si="10"/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ref="A692:A755" si="11">1+A691</f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1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1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1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1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1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1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1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1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1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1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1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1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1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1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si="11"/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ref="A756:A819" si="12">1+A755</f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2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2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2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2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2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2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2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2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2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2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2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2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2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2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si="12"/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ref="A820:A883" si="13">1+A819</f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3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3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3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3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3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3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3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3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3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3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3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3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3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3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si="13"/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ref="A884:A926" si="14">1+A883</f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4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4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4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4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4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4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4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4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4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4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4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4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4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4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si="14"/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63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25">
      <c r="A1351" s="49">
        <f t="shared" si="21"/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25">
      <c r="A1352" s="49">
        <f t="shared" si="21"/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25">
      <c r="A1353" s="49">
        <f t="shared" si="21"/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  <row r="1354" spans="1:13" x14ac:dyDescent="0.25">
      <c r="A1354" s="49">
        <f t="shared" si="21"/>
        <v>1352</v>
      </c>
      <c r="B1354" s="36" t="s">
        <v>3295</v>
      </c>
      <c r="C1354" s="9" t="s">
        <v>6750</v>
      </c>
      <c r="D1354" s="9" t="s">
        <v>6719</v>
      </c>
      <c r="F1354" s="9" t="s">
        <v>6716</v>
      </c>
      <c r="G1354" s="9" t="s">
        <v>13</v>
      </c>
      <c r="H1354" s="36" t="str">
        <f>IFERROR(VLOOKUP(Table2[[#This Row], [Ticket]],Okey!A:B,2,0),"")</f>
        <v/>
      </c>
      <c r="J1354" s="36" t="str">
        <f>VLOOKUP(Table2[[#This Row], [Author]],People!A:B,2,0)</f>
        <v>HC</v>
      </c>
      <c r="M1354" s="9" t="s">
        <v>1613</v>
      </c>
    </row>
    <row r="1355" spans="1:13" x14ac:dyDescent="0.25">
      <c r="A1355" s="49">
        <f t="shared" si="21"/>
        <v>1353</v>
      </c>
      <c r="B1355" s="36" t="s">
        <v>3295</v>
      </c>
      <c r="C1355" s="9" t="s">
        <v>6758</v>
      </c>
      <c r="D1355" s="55" t="s">
        <v>6759</v>
      </c>
      <c r="E1355" s="9" t="s">
        <v>6751</v>
      </c>
      <c r="F1355" s="9" t="s">
        <v>5278</v>
      </c>
      <c r="G1355" s="9" t="s">
        <v>14</v>
      </c>
      <c r="H1355" s="36" t="str">
        <f>IFERROR(VLOOKUP(Table2[[#This Row], [Ticket]],Okey!A:B,2,0),"")</f>
        <v/>
      </c>
      <c r="J1355" s="36" t="str">
        <f>VLOOKUP(Table2[[#This Row],[Author]],People!A:B,2,0)</f>
        <v>LS</v>
      </c>
      <c r="M1355" s="9" t="s">
        <v>6356</v>
      </c>
    </row>
    <row r="1356" spans="1:13" x14ac:dyDescent="0.25">
      <c r="A1356" s="49">
        <f t="shared" si="21"/>
        <v>1354</v>
      </c>
      <c r="B1356" s="36" t="s">
        <v>3295</v>
      </c>
      <c r="C1356" s="36" t="s">
        <v>6758</v>
      </c>
      <c r="D1356" s="9" t="s">
        <v>6754</v>
      </c>
      <c r="E1356" s="9" t="s">
        <v>6751</v>
      </c>
      <c r="F1356" s="55" t="s">
        <v>6759</v>
      </c>
      <c r="G1356" s="36" t="s">
        <v>14</v>
      </c>
      <c r="H1356" s="36" t="str">
        <f>IFERROR(VLOOKUP(Table2[[#This Row], [Ticket]],Okey!A:B,2,0),"")</f>
        <v/>
      </c>
      <c r="J1356" s="36" t="str">
        <f>VLOOKUP(Table2[[#This Row], [Author]],People!A:B,2,0)</f>
        <v>LS</v>
      </c>
      <c r="M1356" s="36" t="s">
        <v>6356</v>
      </c>
    </row>
    <row r="1357" spans="1:13" x14ac:dyDescent="0.25">
      <c r="A1357" s="49">
        <f t="shared" si="21"/>
        <v>1355</v>
      </c>
      <c r="B1357" s="36" t="s">
        <v>3295</v>
      </c>
      <c r="C1357" s="36" t="s">
        <v>6758</v>
      </c>
      <c r="D1357" s="55" t="s">
        <v>6760</v>
      </c>
      <c r="E1357" s="9" t="s">
        <v>6752</v>
      </c>
      <c r="F1357" s="9" t="s">
        <v>5278</v>
      </c>
      <c r="G1357" s="36" t="s">
        <v>14</v>
      </c>
      <c r="H1357" s="36" t="str">
        <f>IFERROR(VLOOKUP(Table2[[#This Row], [Ticket]],Okey!A:B,2,0),"")</f>
        <v/>
      </c>
      <c r="J1357" s="36" t="str">
        <f>VLOOKUP(Table2[[#This Row], [Author]],People!A:B,2,0)</f>
        <v>LS</v>
      </c>
      <c r="M1357" s="36" t="s">
        <v>6356</v>
      </c>
    </row>
    <row r="1358" spans="1:13" x14ac:dyDescent="0.25">
      <c r="A1358" s="49">
        <f t="shared" si="21"/>
        <v>1356</v>
      </c>
      <c r="B1358" s="36" t="s">
        <v>3295</v>
      </c>
      <c r="C1358" s="36" t="s">
        <v>6758</v>
      </c>
      <c r="D1358" s="9" t="s">
        <v>6755</v>
      </c>
      <c r="E1358" s="9" t="s">
        <v>6752</v>
      </c>
      <c r="F1358" s="55" t="s">
        <v>6760</v>
      </c>
      <c r="G1358" s="36" t="s">
        <v>14</v>
      </c>
      <c r="H1358" s="36" t="str">
        <f>IFERROR(VLOOKUP(Table2[[#This Row], [Ticket]],Okey!A:B,2,0),"")</f>
        <v/>
      </c>
      <c r="J1358" s="36" t="str">
        <f>VLOOKUP(Table2[[#This Row], [Author]],People!A:B,2,0)</f>
        <v>LS</v>
      </c>
      <c r="M1358" s="36" t="s">
        <v>6356</v>
      </c>
    </row>
    <row r="1359" spans="1:13" x14ac:dyDescent="0.25">
      <c r="A1359" s="49">
        <f t="shared" si="21"/>
        <v>1357</v>
      </c>
      <c r="B1359" s="36" t="s">
        <v>3295</v>
      </c>
      <c r="C1359" s="36" t="s">
        <v>6758</v>
      </c>
      <c r="D1359" s="55" t="s">
        <v>6761</v>
      </c>
      <c r="E1359" s="9" t="s">
        <v>6753</v>
      </c>
      <c r="F1359" s="9" t="s">
        <v>5278</v>
      </c>
      <c r="G1359" s="36" t="s">
        <v>14</v>
      </c>
      <c r="H1359" s="36" t="str">
        <f>IFERROR(VLOOKUP(Table2[[#This Row], [Ticket]],Okey!A:B,2,0),"")</f>
        <v/>
      </c>
      <c r="J1359" s="36" t="str">
        <f>VLOOKUP(Table2[[#This Row], [Author]],People!A:B,2,0)</f>
        <v>LS</v>
      </c>
      <c r="M1359" s="36" t="s">
        <v>6356</v>
      </c>
    </row>
    <row r="1360" spans="1:13" x14ac:dyDescent="0.25">
      <c r="A1360" s="49">
        <f t="shared" si="21"/>
        <v>1358</v>
      </c>
      <c r="B1360" s="36" t="s">
        <v>3295</v>
      </c>
      <c r="C1360" s="36" t="s">
        <v>6758</v>
      </c>
      <c r="D1360" s="9" t="s">
        <v>6756</v>
      </c>
      <c r="E1360" s="9" t="s">
        <v>6753</v>
      </c>
      <c r="F1360" s="55" t="s">
        <v>6761</v>
      </c>
      <c r="G1360" s="36" t="s">
        <v>14</v>
      </c>
      <c r="H1360" s="36" t="str">
        <f>IFERROR(VLOOKUP(Table2[[#This Row], [Ticket]],Okey!A:B,2,0),"")</f>
        <v/>
      </c>
      <c r="J1360" s="36" t="str">
        <f>VLOOKUP(Table2[[#This Row], [Author]],People!A:B,2,0)</f>
        <v>LS</v>
      </c>
      <c r="M1360" s="36" t="s">
        <v>6356</v>
      </c>
    </row>
    <row r="1361" spans="1:13" x14ac:dyDescent="0.25">
      <c r="A1361" s="49">
        <f t="shared" si="21"/>
        <v>1359</v>
      </c>
      <c r="B1361" s="36" t="s">
        <v>3295</v>
      </c>
      <c r="C1361" s="36" t="s">
        <v>6758</v>
      </c>
      <c r="D1361" s="9" t="s">
        <v>6655</v>
      </c>
      <c r="E1361" s="9" t="s">
        <v>6757</v>
      </c>
      <c r="G1361" s="9" t="s">
        <v>15</v>
      </c>
      <c r="H1361" s="36" t="str">
        <f>IFERROR(VLOOKUP(Table2[[#This Row], [Ticket]],Okey!A:B,2,0),"")</f>
        <v/>
      </c>
      <c r="J1361" s="36" t="str">
        <f>VLOOKUP(Table2[[#This Row], [Author]],People!A:B,2,0)</f>
        <v>LS</v>
      </c>
      <c r="M1361" s="36" t="s">
        <v>6356</v>
      </c>
    </row>
    <row r="1362" spans="1:13" x14ac:dyDescent="0.25">
      <c r="A1362" s="49">
        <f t="shared" si="21"/>
        <v>1360</v>
      </c>
      <c r="B1362" s="36" t="s">
        <v>3295</v>
      </c>
      <c r="C1362" s="36" t="s">
        <v>6758</v>
      </c>
      <c r="D1362" s="9" t="s">
        <v>6652</v>
      </c>
      <c r="E1362" s="9" t="s">
        <v>6757</v>
      </c>
      <c r="G1362" s="36" t="s">
        <v>15</v>
      </c>
      <c r="H1362" s="36" t="str">
        <f>IFERROR(VLOOKUP(Table2[[#This Row], [Ticket]],Okey!A:B,2,0),"")</f>
        <v/>
      </c>
      <c r="J1362" s="36" t="str">
        <f>VLOOKUP(Table2[[#This Row], [Author]],People!A:B,2,0)</f>
        <v>LS</v>
      </c>
      <c r="M1362" s="36" t="s">
        <v>6356</v>
      </c>
    </row>
    <row r="1363" spans="1:13" x14ac:dyDescent="0.25">
      <c r="A1363" s="49">
        <f t="shared" si="21"/>
        <v>1361</v>
      </c>
      <c r="B1363" s="36" t="s">
        <v>3295</v>
      </c>
      <c r="C1363" s="9" t="s">
        <v>6763</v>
      </c>
      <c r="D1363" s="9" t="s">
        <v>6766</v>
      </c>
      <c r="E1363" s="9" t="s">
        <v>6762</v>
      </c>
      <c r="F1363" s="9" t="s">
        <v>6765</v>
      </c>
      <c r="G1363" s="36" t="s">
        <v>14</v>
      </c>
      <c r="H1363" s="36" t="str">
        <f>IFERROR(VLOOKUP(Table2[[#This Row], [Ticket]],Okey!A:B,2,0),"")</f>
        <v/>
      </c>
      <c r="J1363" s="36" t="str">
        <f>VLOOKUP(Table2[[#This Row], [Author]],People!A:B,2,0)</f>
        <v>LS</v>
      </c>
      <c r="M1363" s="9" t="s">
        <v>6764</v>
      </c>
    </row>
    <row r="1364" spans="1:13" x14ac:dyDescent="0.25">
      <c r="A1364" s="49">
        <f t="shared" ref="A1364" si="22">1+A1363</f>
        <v>1362</v>
      </c>
      <c r="B1364" s="36" t="s">
        <v>4</v>
      </c>
      <c r="C1364" s="9" t="s">
        <v>6767</v>
      </c>
      <c r="D1364" s="36" t="s">
        <v>6771</v>
      </c>
      <c r="E1364" s="9" t="s">
        <v>6768</v>
      </c>
      <c r="F1364" s="9" t="s">
        <v>990</v>
      </c>
      <c r="G1364" s="36" t="s">
        <v>14</v>
      </c>
      <c r="H1364" s="36" t="str">
        <f>IFERROR(VLOOKUP(Table2[[#This Row], [Ticket]],Okey!A:B,2,0),"")</f>
        <v/>
      </c>
      <c r="J1364" s="36" t="str">
        <f>VLOOKUP(Table2[[#This Row],[Author]],People!A:B,2,0)</f>
        <v>LS</v>
      </c>
      <c r="M1364" s="36" t="s">
        <v>6356</v>
      </c>
    </row>
    <row r="1365" spans="1:13" x14ac:dyDescent="0.25">
      <c r="A1365" s="49">
        <f t="shared" ref="A1365:A1428" si="23">1+A1364</f>
        <v>1363</v>
      </c>
      <c r="B1365" s="36" t="s">
        <v>4</v>
      </c>
      <c r="C1365" s="36" t="s">
        <v>6767</v>
      </c>
      <c r="D1365" s="9" t="s">
        <v>6769</v>
      </c>
      <c r="E1365" s="9" t="s">
        <v>6770</v>
      </c>
      <c r="F1365" s="36" t="s">
        <v>6771</v>
      </c>
      <c r="G1365" s="36" t="s">
        <v>14</v>
      </c>
      <c r="H1365" s="36" t="str">
        <f>IFERROR(VLOOKUP(Table2[[#This Row], [Ticket]],Okey!A:B,2,0),"")</f>
        <v/>
      </c>
      <c r="J1365" s="36" t="str">
        <f>VLOOKUP(Table2[[#This Row], [Author]],People!A:B,2,0)</f>
        <v>LS</v>
      </c>
      <c r="M1365" s="36" t="s">
        <v>6356</v>
      </c>
    </row>
    <row r="1366" spans="1:13" x14ac:dyDescent="0.25">
      <c r="A1366" s="49">
        <f t="shared" si="23"/>
        <v>1364</v>
      </c>
      <c r="B1366" s="36" t="s">
        <v>4</v>
      </c>
      <c r="C1366" s="9" t="s">
        <v>7588</v>
      </c>
      <c r="D1366" s="9" t="s">
        <v>6668</v>
      </c>
      <c r="E1366" s="9" t="s">
        <v>7168</v>
      </c>
      <c r="F1366" s="9" t="s">
        <v>6716</v>
      </c>
      <c r="G1366" s="36" t="s">
        <v>14</v>
      </c>
      <c r="H1366" s="36" t="str">
        <f>IFERROR(VLOOKUP(Table2[[#This Row], [Ticket]],Okey!A:B,2,0),"")</f>
        <v/>
      </c>
      <c r="I1366" s="36"/>
      <c r="J1366" s="36" t="str">
        <f>VLOOKUP(Table2[[#This Row], [Author]],People!A:B,2,0)</f>
        <v>HC</v>
      </c>
      <c r="K1366" s="9" t="s">
        <v>7589</v>
      </c>
      <c r="M1366" s="9" t="s">
        <v>1613</v>
      </c>
    </row>
    <row r="1367" spans="1:13" x14ac:dyDescent="0.25">
      <c r="A1367" s="49">
        <f t="shared" si="23"/>
        <v>1365</v>
      </c>
      <c r="B1367" s="36" t="s">
        <v>4</v>
      </c>
      <c r="C1367" s="36" t="s">
        <v>7588</v>
      </c>
      <c r="D1367" s="9" t="s">
        <v>6670</v>
      </c>
      <c r="E1367" s="9" t="s">
        <v>7169</v>
      </c>
      <c r="F1367" s="9" t="s">
        <v>6668</v>
      </c>
      <c r="G1367" s="36" t="s">
        <v>14</v>
      </c>
      <c r="H1367" s="36" t="str">
        <f>IFERROR(VLOOKUP(Table2[[#This Row], [Ticket]],Okey!A:B,2,0),"")</f>
        <v/>
      </c>
      <c r="I1367" s="36"/>
      <c r="J1367" s="36" t="str">
        <f>VLOOKUP(Table2[[#This Row], [Author]],People!A:B,2,0)</f>
        <v>HC</v>
      </c>
      <c r="M1367" s="36" t="s">
        <v>1613</v>
      </c>
    </row>
    <row r="1368" spans="1:13" x14ac:dyDescent="0.25">
      <c r="A1368" s="49">
        <f t="shared" si="23"/>
        <v>1366</v>
      </c>
      <c r="B1368" s="36" t="s">
        <v>4</v>
      </c>
      <c r="C1368" s="36" t="s">
        <v>7588</v>
      </c>
      <c r="D1368" s="9" t="s">
        <v>6672</v>
      </c>
      <c r="E1368" s="9" t="s">
        <v>7170</v>
      </c>
      <c r="F1368" s="9" t="s">
        <v>6668</v>
      </c>
      <c r="G1368" s="36" t="s">
        <v>14</v>
      </c>
      <c r="H1368" s="36" t="str">
        <f>IFERROR(VLOOKUP(Table2[[#This Row], [Ticket]],Okey!A:B,2,0),"")</f>
        <v/>
      </c>
      <c r="I1368" s="36"/>
      <c r="J1368" s="36" t="str">
        <f>VLOOKUP(Table2[[#This Row], [Author]],People!A:B,2,0)</f>
        <v>HC</v>
      </c>
      <c r="M1368" s="36" t="s">
        <v>1613</v>
      </c>
    </row>
    <row r="1369" spans="1:13" x14ac:dyDescent="0.25">
      <c r="A1369" s="49">
        <f t="shared" si="23"/>
        <v>1367</v>
      </c>
      <c r="B1369" s="36" t="s">
        <v>4</v>
      </c>
      <c r="C1369" s="36" t="s">
        <v>7588</v>
      </c>
      <c r="D1369" s="9" t="s">
        <v>6674</v>
      </c>
      <c r="E1369" s="9" t="s">
        <v>7171</v>
      </c>
      <c r="F1369" s="9" t="s">
        <v>6668</v>
      </c>
      <c r="G1369" s="36" t="s">
        <v>14</v>
      </c>
      <c r="H1369" s="36" t="str">
        <f>IFERROR(VLOOKUP(Table2[[#This Row], [Ticket]],Okey!A:B,2,0),"")</f>
        <v/>
      </c>
      <c r="I1369" s="36"/>
      <c r="J1369" s="36" t="str">
        <f>VLOOKUP(Table2[[#This Row], [Author]],People!A:B,2,0)</f>
        <v>HC</v>
      </c>
      <c r="M1369" s="36" t="s">
        <v>1613</v>
      </c>
    </row>
    <row r="1370" spans="1:13" x14ac:dyDescent="0.25">
      <c r="A1370" s="49">
        <f t="shared" si="23"/>
        <v>1368</v>
      </c>
      <c r="B1370" s="36" t="s">
        <v>4</v>
      </c>
      <c r="C1370" s="36" t="s">
        <v>7588</v>
      </c>
      <c r="D1370" s="9" t="s">
        <v>6676</v>
      </c>
      <c r="E1370" s="9" t="s">
        <v>7172</v>
      </c>
      <c r="F1370" s="9" t="s">
        <v>6674</v>
      </c>
      <c r="G1370" s="36" t="s">
        <v>14</v>
      </c>
      <c r="H1370" s="36" t="str">
        <f>IFERROR(VLOOKUP(Table2[[#This Row], [Ticket]],Okey!A:B,2,0),"")</f>
        <v/>
      </c>
      <c r="I1370" s="36"/>
      <c r="J1370" s="36" t="str">
        <f>VLOOKUP(Table2[[#This Row], [Author]],People!A:B,2,0)</f>
        <v>HC</v>
      </c>
      <c r="M1370" s="36" t="s">
        <v>1613</v>
      </c>
    </row>
    <row r="1371" spans="1:13" x14ac:dyDescent="0.25">
      <c r="A1371" s="49">
        <f t="shared" si="23"/>
        <v>1369</v>
      </c>
      <c r="B1371" s="36" t="s">
        <v>4</v>
      </c>
      <c r="C1371" s="36" t="s">
        <v>7588</v>
      </c>
      <c r="D1371" s="9" t="s">
        <v>6678</v>
      </c>
      <c r="E1371" s="9" t="s">
        <v>7173</v>
      </c>
      <c r="F1371" s="9" t="s">
        <v>6674</v>
      </c>
      <c r="G1371" s="36" t="s">
        <v>14</v>
      </c>
      <c r="H1371" s="36" t="str">
        <f>IFERROR(VLOOKUP(Table2[[#This Row], [Ticket]],Okey!A:B,2,0),"")</f>
        <v/>
      </c>
      <c r="I1371" s="36"/>
      <c r="J1371" s="36" t="str">
        <f>VLOOKUP(Table2[[#This Row], [Author]],People!A:B,2,0)</f>
        <v>HC</v>
      </c>
      <c r="M1371" s="36" t="s">
        <v>1613</v>
      </c>
    </row>
    <row r="1372" spans="1:13" x14ac:dyDescent="0.25">
      <c r="A1372" s="49">
        <f t="shared" si="23"/>
        <v>1370</v>
      </c>
      <c r="B1372" s="36" t="s">
        <v>4</v>
      </c>
      <c r="C1372" s="36" t="s">
        <v>7588</v>
      </c>
      <c r="D1372" s="9" t="s">
        <v>6680</v>
      </c>
      <c r="E1372" s="9" t="s">
        <v>7174</v>
      </c>
      <c r="F1372" s="9" t="s">
        <v>6668</v>
      </c>
      <c r="G1372" s="36" t="s">
        <v>14</v>
      </c>
      <c r="H1372" s="36" t="str">
        <f>IFERROR(VLOOKUP(Table2[[#This Row], [Ticket]],Okey!A:B,2,0),"")</f>
        <v/>
      </c>
      <c r="I1372" s="36"/>
      <c r="J1372" s="36" t="str">
        <f>VLOOKUP(Table2[[#This Row], [Author]],People!A:B,2,0)</f>
        <v>HC</v>
      </c>
      <c r="M1372" s="36" t="s">
        <v>1613</v>
      </c>
    </row>
    <row r="1373" spans="1:13" x14ac:dyDescent="0.25">
      <c r="A1373" s="49">
        <f t="shared" si="23"/>
        <v>1371</v>
      </c>
      <c r="B1373" s="36" t="s">
        <v>4</v>
      </c>
      <c r="C1373" s="36" t="s">
        <v>7588</v>
      </c>
      <c r="D1373" s="9" t="s">
        <v>6682</v>
      </c>
      <c r="E1373" s="9" t="s">
        <v>7175</v>
      </c>
      <c r="F1373" s="9" t="s">
        <v>6680</v>
      </c>
      <c r="G1373" s="36" t="s">
        <v>14</v>
      </c>
      <c r="H1373" s="36" t="str">
        <f>IFERROR(VLOOKUP(Table2[[#This Row], [Ticket]],Okey!A:B,2,0),"")</f>
        <v/>
      </c>
      <c r="I1373" s="36"/>
      <c r="J1373" s="36" t="str">
        <f>VLOOKUP(Table2[[#This Row], [Author]],People!A:B,2,0)</f>
        <v>HC</v>
      </c>
      <c r="M1373" s="36" t="s">
        <v>1613</v>
      </c>
    </row>
    <row r="1374" spans="1:13" x14ac:dyDescent="0.25">
      <c r="A1374" s="49">
        <f t="shared" si="23"/>
        <v>1372</v>
      </c>
      <c r="B1374" s="36" t="s">
        <v>4</v>
      </c>
      <c r="C1374" s="36" t="s">
        <v>7588</v>
      </c>
      <c r="D1374" s="9" t="s">
        <v>6684</v>
      </c>
      <c r="E1374" s="9" t="s">
        <v>7176</v>
      </c>
      <c r="F1374" s="9" t="s">
        <v>6680</v>
      </c>
      <c r="G1374" s="36" t="s">
        <v>14</v>
      </c>
      <c r="H1374" s="36" t="str">
        <f>IFERROR(VLOOKUP(Table2[[#This Row], [Ticket]],Okey!A:B,2,0),"")</f>
        <v/>
      </c>
      <c r="I1374" s="36"/>
      <c r="J1374" s="36" t="str">
        <f>VLOOKUP(Table2[[#This Row], [Author]],People!A:B,2,0)</f>
        <v>HC</v>
      </c>
      <c r="M1374" s="36" t="s">
        <v>1613</v>
      </c>
    </row>
    <row r="1375" spans="1:13" x14ac:dyDescent="0.25">
      <c r="A1375" s="49">
        <f t="shared" si="23"/>
        <v>1373</v>
      </c>
      <c r="B1375" s="36" t="s">
        <v>4</v>
      </c>
      <c r="C1375" s="36" t="s">
        <v>7588</v>
      </c>
      <c r="D1375" s="9" t="s">
        <v>6686</v>
      </c>
      <c r="E1375" s="9" t="s">
        <v>7177</v>
      </c>
      <c r="F1375" s="9" t="s">
        <v>6680</v>
      </c>
      <c r="G1375" s="36" t="s">
        <v>14</v>
      </c>
      <c r="H1375" s="36" t="str">
        <f>IFERROR(VLOOKUP(Table2[[#This Row], [Ticket]],Okey!A:B,2,0),"")</f>
        <v/>
      </c>
      <c r="I1375" s="36"/>
      <c r="J1375" s="36" t="str">
        <f>VLOOKUP(Table2[[#This Row], [Author]],People!A:B,2,0)</f>
        <v>HC</v>
      </c>
      <c r="M1375" s="36" t="s">
        <v>1613</v>
      </c>
    </row>
    <row r="1376" spans="1:13" x14ac:dyDescent="0.25">
      <c r="A1376" s="49">
        <f t="shared" si="23"/>
        <v>1374</v>
      </c>
      <c r="B1376" s="36" t="s">
        <v>4</v>
      </c>
      <c r="C1376" s="36" t="s">
        <v>7588</v>
      </c>
      <c r="D1376" s="9" t="s">
        <v>6688</v>
      </c>
      <c r="E1376" s="9" t="s">
        <v>7178</v>
      </c>
      <c r="F1376" s="9" t="s">
        <v>6680</v>
      </c>
      <c r="G1376" s="36" t="s">
        <v>14</v>
      </c>
      <c r="H1376" s="36" t="str">
        <f>IFERROR(VLOOKUP(Table2[[#This Row], [Ticket]],Okey!A:B,2,0),"")</f>
        <v/>
      </c>
      <c r="I1376" s="36"/>
      <c r="J1376" s="36" t="str">
        <f>VLOOKUP(Table2[[#This Row], [Author]],People!A:B,2,0)</f>
        <v>HC</v>
      </c>
      <c r="M1376" s="36" t="s">
        <v>1613</v>
      </c>
    </row>
    <row r="1377" spans="1:13" x14ac:dyDescent="0.25">
      <c r="A1377" s="49">
        <f t="shared" si="23"/>
        <v>1375</v>
      </c>
      <c r="B1377" s="36" t="s">
        <v>4</v>
      </c>
      <c r="C1377" s="36" t="s">
        <v>7588</v>
      </c>
      <c r="D1377" s="9" t="s">
        <v>6690</v>
      </c>
      <c r="E1377" s="9" t="s">
        <v>7179</v>
      </c>
      <c r="F1377" s="9" t="s">
        <v>6680</v>
      </c>
      <c r="G1377" s="36" t="s">
        <v>14</v>
      </c>
      <c r="H1377" s="36" t="str">
        <f>IFERROR(VLOOKUP(Table2[[#This Row], [Ticket]],Okey!A:B,2,0),"")</f>
        <v/>
      </c>
      <c r="I1377" s="36"/>
      <c r="J1377" s="36" t="str">
        <f>VLOOKUP(Table2[[#This Row], [Author]],People!A:B,2,0)</f>
        <v>HC</v>
      </c>
      <c r="M1377" s="36" t="s">
        <v>1613</v>
      </c>
    </row>
    <row r="1378" spans="1:13" x14ac:dyDescent="0.25">
      <c r="A1378" s="49">
        <f t="shared" si="23"/>
        <v>1376</v>
      </c>
      <c r="B1378" s="36" t="s">
        <v>4</v>
      </c>
      <c r="C1378" s="36" t="s">
        <v>7588</v>
      </c>
      <c r="D1378" s="9" t="s">
        <v>6692</v>
      </c>
      <c r="E1378" s="9" t="s">
        <v>7180</v>
      </c>
      <c r="F1378" s="9" t="s">
        <v>6718</v>
      </c>
      <c r="G1378" s="36" t="s">
        <v>14</v>
      </c>
      <c r="H1378" s="36" t="str">
        <f>IFERROR(VLOOKUP(Table2[[#This Row], [Ticket]],Okey!A:B,2,0),"")</f>
        <v/>
      </c>
      <c r="I1378" s="36"/>
      <c r="J1378" s="36" t="str">
        <f>VLOOKUP(Table2[[#This Row], [Author]],People!A:B,2,0)</f>
        <v>HC</v>
      </c>
      <c r="M1378" s="36" t="s">
        <v>1613</v>
      </c>
    </row>
    <row r="1379" spans="1:13" x14ac:dyDescent="0.25">
      <c r="A1379" s="49">
        <f t="shared" si="23"/>
        <v>1377</v>
      </c>
      <c r="B1379" s="36" t="s">
        <v>4</v>
      </c>
      <c r="C1379" s="36" t="s">
        <v>7588</v>
      </c>
      <c r="D1379" s="9" t="s">
        <v>6694</v>
      </c>
      <c r="E1379" s="9" t="s">
        <v>7181</v>
      </c>
      <c r="F1379" s="9" t="s">
        <v>6692</v>
      </c>
      <c r="G1379" s="36" t="s">
        <v>14</v>
      </c>
      <c r="H1379" s="36" t="str">
        <f>IFERROR(VLOOKUP(Table2[[#This Row], [Ticket]],Okey!A:B,2,0),"")</f>
        <v/>
      </c>
      <c r="I1379" s="36"/>
      <c r="J1379" s="36" t="str">
        <f>VLOOKUP(Table2[[#This Row], [Author]],People!A:B,2,0)</f>
        <v>HC</v>
      </c>
      <c r="M1379" s="36" t="s">
        <v>1613</v>
      </c>
    </row>
    <row r="1380" spans="1:13" x14ac:dyDescent="0.25">
      <c r="A1380" s="49">
        <f t="shared" si="23"/>
        <v>1378</v>
      </c>
      <c r="B1380" s="36" t="s">
        <v>4</v>
      </c>
      <c r="C1380" s="36" t="s">
        <v>7588</v>
      </c>
      <c r="D1380" s="9" t="s">
        <v>6696</v>
      </c>
      <c r="E1380" s="9" t="s">
        <v>7182</v>
      </c>
      <c r="F1380" s="9" t="s">
        <v>6692</v>
      </c>
      <c r="G1380" s="36" t="s">
        <v>14</v>
      </c>
      <c r="H1380" s="36" t="str">
        <f>IFERROR(VLOOKUP(Table2[[#This Row], [Ticket]],Okey!A:B,2,0),"")</f>
        <v/>
      </c>
      <c r="I1380" s="36"/>
      <c r="J1380" s="36" t="str">
        <f>VLOOKUP(Table2[[#This Row], [Author]],People!A:B,2,0)</f>
        <v>HC</v>
      </c>
      <c r="M1380" s="36" t="s">
        <v>1613</v>
      </c>
    </row>
    <row r="1381" spans="1:13" x14ac:dyDescent="0.25">
      <c r="A1381" s="49">
        <f t="shared" si="23"/>
        <v>1379</v>
      </c>
      <c r="B1381" s="36" t="s">
        <v>4</v>
      </c>
      <c r="C1381" s="36" t="s">
        <v>7588</v>
      </c>
      <c r="D1381" s="9" t="s">
        <v>6698</v>
      </c>
      <c r="E1381" s="9" t="s">
        <v>7183</v>
      </c>
      <c r="F1381" s="9" t="s">
        <v>6696</v>
      </c>
      <c r="G1381" s="36" t="s">
        <v>14</v>
      </c>
      <c r="H1381" s="36" t="str">
        <f>IFERROR(VLOOKUP(Table2[[#This Row], [Ticket]],Okey!A:B,2,0),"")</f>
        <v/>
      </c>
      <c r="I1381" s="36"/>
      <c r="J1381" s="36" t="str">
        <f>VLOOKUP(Table2[[#This Row], [Author]],People!A:B,2,0)</f>
        <v>HC</v>
      </c>
      <c r="M1381" s="36" t="s">
        <v>1613</v>
      </c>
    </row>
    <row r="1382" spans="1:13" x14ac:dyDescent="0.25">
      <c r="A1382" s="49">
        <f t="shared" si="23"/>
        <v>1380</v>
      </c>
      <c r="B1382" s="36" t="s">
        <v>4</v>
      </c>
      <c r="C1382" s="36" t="s">
        <v>7588</v>
      </c>
      <c r="D1382" s="9" t="s">
        <v>6700</v>
      </c>
      <c r="E1382" s="9" t="s">
        <v>7184</v>
      </c>
      <c r="F1382" s="9" t="s">
        <v>6696</v>
      </c>
      <c r="G1382" s="36" t="s">
        <v>14</v>
      </c>
      <c r="H1382" s="36" t="str">
        <f>IFERROR(VLOOKUP(Table2[[#This Row], [Ticket]],Okey!A:B,2,0),"")</f>
        <v/>
      </c>
      <c r="I1382" s="36"/>
      <c r="J1382" s="36" t="str">
        <f>VLOOKUP(Table2[[#This Row], [Author]],People!A:B,2,0)</f>
        <v>HC</v>
      </c>
      <c r="M1382" s="36" t="s">
        <v>1613</v>
      </c>
    </row>
    <row r="1383" spans="1:13" x14ac:dyDescent="0.25">
      <c r="A1383" s="49">
        <f t="shared" si="23"/>
        <v>1381</v>
      </c>
      <c r="B1383" s="36" t="s">
        <v>4</v>
      </c>
      <c r="C1383" s="36" t="s">
        <v>7588</v>
      </c>
      <c r="D1383" s="9" t="s">
        <v>6702</v>
      </c>
      <c r="E1383" s="9" t="s">
        <v>7185</v>
      </c>
      <c r="F1383" s="9" t="s">
        <v>6692</v>
      </c>
      <c r="G1383" s="36" t="s">
        <v>14</v>
      </c>
      <c r="H1383" s="36" t="str">
        <f>IFERROR(VLOOKUP(Table2[[#This Row], [Ticket]],Okey!A:B,2,0),"")</f>
        <v/>
      </c>
      <c r="I1383" s="36"/>
      <c r="J1383" s="36" t="str">
        <f>VLOOKUP(Table2[[#This Row], [Author]],People!A:B,2,0)</f>
        <v>HC</v>
      </c>
      <c r="M1383" s="36" t="s">
        <v>1613</v>
      </c>
    </row>
    <row r="1384" spans="1:13" x14ac:dyDescent="0.25">
      <c r="A1384" s="49">
        <f t="shared" si="23"/>
        <v>1382</v>
      </c>
      <c r="B1384" s="36" t="s">
        <v>4</v>
      </c>
      <c r="C1384" s="36" t="s">
        <v>7588</v>
      </c>
      <c r="D1384" s="9" t="s">
        <v>6704</v>
      </c>
      <c r="E1384" s="9" t="s">
        <v>7186</v>
      </c>
      <c r="F1384" s="9" t="s">
        <v>6702</v>
      </c>
      <c r="G1384" s="36" t="s">
        <v>14</v>
      </c>
      <c r="H1384" s="36" t="str">
        <f>IFERROR(VLOOKUP(Table2[[#This Row], [Ticket]],Okey!A:B,2,0),"")</f>
        <v/>
      </c>
      <c r="I1384" s="36"/>
      <c r="J1384" s="36" t="str">
        <f>VLOOKUP(Table2[[#This Row], [Author]],People!A:B,2,0)</f>
        <v>HC</v>
      </c>
      <c r="M1384" s="36" t="s">
        <v>1613</v>
      </c>
    </row>
    <row r="1385" spans="1:13" x14ac:dyDescent="0.25">
      <c r="A1385" s="49">
        <f t="shared" si="23"/>
        <v>1383</v>
      </c>
      <c r="B1385" s="36" t="s">
        <v>4</v>
      </c>
      <c r="C1385" s="36" t="s">
        <v>7588</v>
      </c>
      <c r="D1385" s="9" t="s">
        <v>6706</v>
      </c>
      <c r="E1385" s="9" t="s">
        <v>7187</v>
      </c>
      <c r="F1385" s="9" t="s">
        <v>6702</v>
      </c>
      <c r="G1385" s="36" t="s">
        <v>14</v>
      </c>
      <c r="H1385" s="36" t="str">
        <f>IFERROR(VLOOKUP(Table2[[#This Row], [Ticket]],Okey!A:B,2,0),"")</f>
        <v/>
      </c>
      <c r="I1385" s="36"/>
      <c r="J1385" s="36" t="str">
        <f>VLOOKUP(Table2[[#This Row], [Author]],People!A:B,2,0)</f>
        <v>HC</v>
      </c>
      <c r="M1385" s="36" t="s">
        <v>1613</v>
      </c>
    </row>
    <row r="1386" spans="1:13" x14ac:dyDescent="0.25">
      <c r="A1386" s="49">
        <f t="shared" si="23"/>
        <v>1384</v>
      </c>
      <c r="B1386" s="36" t="s">
        <v>4</v>
      </c>
      <c r="C1386" s="36" t="s">
        <v>7588</v>
      </c>
      <c r="D1386" s="9" t="s">
        <v>6708</v>
      </c>
      <c r="E1386" s="9" t="s">
        <v>7188</v>
      </c>
      <c r="F1386" s="9" t="s">
        <v>6716</v>
      </c>
      <c r="G1386" s="36" t="s">
        <v>14</v>
      </c>
      <c r="H1386" s="36" t="str">
        <f>IFERROR(VLOOKUP(Table2[[#This Row], [Ticket]],Okey!A:B,2,0),"")</f>
        <v/>
      </c>
      <c r="I1386" s="36"/>
      <c r="J1386" s="36" t="str">
        <f>VLOOKUP(Table2[[#This Row], [Author]],People!A:B,2,0)</f>
        <v>HC</v>
      </c>
      <c r="M1386" s="36" t="s">
        <v>1613</v>
      </c>
    </row>
    <row r="1387" spans="1:13" x14ac:dyDescent="0.25">
      <c r="A1387" s="49">
        <f t="shared" si="23"/>
        <v>1385</v>
      </c>
      <c r="B1387" s="36" t="s">
        <v>4</v>
      </c>
      <c r="C1387" s="36" t="s">
        <v>7588</v>
      </c>
      <c r="D1387" s="9" t="s">
        <v>6710</v>
      </c>
      <c r="E1387" s="9" t="s">
        <v>7189</v>
      </c>
      <c r="F1387" s="9" t="s">
        <v>6708</v>
      </c>
      <c r="G1387" s="36" t="s">
        <v>14</v>
      </c>
      <c r="H1387" s="36" t="str">
        <f>IFERROR(VLOOKUP(Table2[[#This Row], [Ticket]],Okey!A:B,2,0),"")</f>
        <v/>
      </c>
      <c r="I1387" s="36"/>
      <c r="J1387" s="36" t="str">
        <f>VLOOKUP(Table2[[#This Row], [Author]],People!A:B,2,0)</f>
        <v>HC</v>
      </c>
      <c r="M1387" s="36" t="s">
        <v>1613</v>
      </c>
    </row>
    <row r="1388" spans="1:13" x14ac:dyDescent="0.25">
      <c r="A1388" s="49">
        <f t="shared" si="23"/>
        <v>1386</v>
      </c>
      <c r="B1388" s="36" t="s">
        <v>4</v>
      </c>
      <c r="C1388" s="36" t="s">
        <v>7588</v>
      </c>
      <c r="D1388" s="9" t="s">
        <v>6712</v>
      </c>
      <c r="E1388" s="9" t="s">
        <v>7190</v>
      </c>
      <c r="F1388" s="9" t="s">
        <v>6708</v>
      </c>
      <c r="G1388" s="36" t="s">
        <v>14</v>
      </c>
      <c r="H1388" s="36" t="str">
        <f>IFERROR(VLOOKUP(Table2[[#This Row], [Ticket]],Okey!A:B,2,0),"")</f>
        <v/>
      </c>
      <c r="I1388" s="36"/>
      <c r="J1388" s="36" t="str">
        <f>VLOOKUP(Table2[[#This Row], [Author]],People!A:B,2,0)</f>
        <v>HC</v>
      </c>
      <c r="M1388" s="36" t="s">
        <v>1613</v>
      </c>
    </row>
    <row r="1389" spans="1:13" x14ac:dyDescent="0.25">
      <c r="A1389" s="49">
        <f t="shared" si="23"/>
        <v>1387</v>
      </c>
      <c r="B1389" s="36" t="s">
        <v>4</v>
      </c>
      <c r="C1389" s="36" t="s">
        <v>7588</v>
      </c>
      <c r="D1389" s="9" t="s">
        <v>6714</v>
      </c>
      <c r="E1389" s="9" t="s">
        <v>7191</v>
      </c>
      <c r="F1389" s="9" t="s">
        <v>6708</v>
      </c>
      <c r="G1389" s="36" t="s">
        <v>14</v>
      </c>
      <c r="H1389" s="36" t="str">
        <f>IFERROR(VLOOKUP(Table2[[#This Row], [Ticket]],Okey!A:B,2,0),"")</f>
        <v/>
      </c>
      <c r="I1389" s="36"/>
      <c r="J1389" s="36" t="str">
        <f>VLOOKUP(Table2[[#This Row], [Author]],People!A:B,2,0)</f>
        <v>HC</v>
      </c>
      <c r="M1389" s="36" t="s">
        <v>1613</v>
      </c>
    </row>
    <row r="1390" spans="1:13" x14ac:dyDescent="0.25">
      <c r="A1390" s="49">
        <f t="shared" si="23"/>
        <v>1388</v>
      </c>
      <c r="B1390" s="36" t="s">
        <v>4</v>
      </c>
      <c r="C1390" s="36" t="s">
        <v>7588</v>
      </c>
      <c r="D1390" s="9" t="s">
        <v>6772</v>
      </c>
      <c r="E1390" s="9" t="s">
        <v>7192</v>
      </c>
      <c r="F1390" s="9" t="s">
        <v>6714</v>
      </c>
      <c r="G1390" s="36" t="s">
        <v>14</v>
      </c>
      <c r="H1390" s="36" t="str">
        <f>IFERROR(VLOOKUP(Table2[[#This Row], [Ticket]],Okey!A:B,2,0),"")</f>
        <v/>
      </c>
      <c r="I1390" s="36"/>
      <c r="J1390" s="36" t="str">
        <f>VLOOKUP(Table2[[#This Row], [Author]],People!A:B,2,0)</f>
        <v>HC</v>
      </c>
      <c r="M1390" s="36" t="s">
        <v>1613</v>
      </c>
    </row>
    <row r="1391" spans="1:13" x14ac:dyDescent="0.25">
      <c r="A1391" s="49">
        <f t="shared" si="23"/>
        <v>1389</v>
      </c>
      <c r="B1391" s="36" t="s">
        <v>4</v>
      </c>
      <c r="C1391" s="36" t="s">
        <v>7588</v>
      </c>
      <c r="D1391" s="9" t="s">
        <v>6773</v>
      </c>
      <c r="E1391" s="9" t="s">
        <v>7193</v>
      </c>
      <c r="F1391" s="9" t="s">
        <v>6714</v>
      </c>
      <c r="G1391" s="36" t="s">
        <v>14</v>
      </c>
      <c r="H1391" s="36" t="str">
        <f>IFERROR(VLOOKUP(Table2[[#This Row], [Ticket]],Okey!A:B,2,0),"")</f>
        <v/>
      </c>
      <c r="I1391" s="36"/>
      <c r="J1391" s="36" t="str">
        <f>VLOOKUP(Table2[[#This Row], [Author]],People!A:B,2,0)</f>
        <v>HC</v>
      </c>
      <c r="M1391" s="36" t="s">
        <v>1613</v>
      </c>
    </row>
    <row r="1392" spans="1:13" x14ac:dyDescent="0.25">
      <c r="A1392" s="49">
        <f t="shared" si="23"/>
        <v>1390</v>
      </c>
      <c r="B1392" s="36" t="s">
        <v>4</v>
      </c>
      <c r="C1392" s="36" t="s">
        <v>7588</v>
      </c>
      <c r="D1392" s="9" t="s">
        <v>6774</v>
      </c>
      <c r="E1392" s="9" t="s">
        <v>7194</v>
      </c>
      <c r="F1392" s="9" t="s">
        <v>6708</v>
      </c>
      <c r="G1392" s="36" t="s">
        <v>14</v>
      </c>
      <c r="H1392" s="36" t="str">
        <f>IFERROR(VLOOKUP(Table2[[#This Row], [Ticket]],Okey!A:B,2,0),"")</f>
        <v/>
      </c>
      <c r="I1392" s="36"/>
      <c r="J1392" s="36" t="str">
        <f>VLOOKUP(Table2[[#This Row], [Author]],People!A:B,2,0)</f>
        <v>HC</v>
      </c>
      <c r="M1392" s="36" t="s">
        <v>1613</v>
      </c>
    </row>
    <row r="1393" spans="1:13" x14ac:dyDescent="0.25">
      <c r="A1393" s="49">
        <f t="shared" si="23"/>
        <v>1391</v>
      </c>
      <c r="B1393" s="36" t="s">
        <v>4</v>
      </c>
      <c r="C1393" s="36" t="s">
        <v>7588</v>
      </c>
      <c r="D1393" s="9" t="s">
        <v>6775</v>
      </c>
      <c r="E1393" s="9" t="s">
        <v>7195</v>
      </c>
      <c r="F1393" s="9" t="s">
        <v>6774</v>
      </c>
      <c r="G1393" s="36" t="s">
        <v>14</v>
      </c>
      <c r="H1393" s="36" t="str">
        <f>IFERROR(VLOOKUP(Table2[[#This Row], [Ticket]],Okey!A:B,2,0),"")</f>
        <v/>
      </c>
      <c r="I1393" s="36"/>
      <c r="J1393" s="36" t="str">
        <f>VLOOKUP(Table2[[#This Row], [Author]],People!A:B,2,0)</f>
        <v>HC</v>
      </c>
      <c r="M1393" s="36" t="s">
        <v>1613</v>
      </c>
    </row>
    <row r="1394" spans="1:13" x14ac:dyDescent="0.25">
      <c r="A1394" s="49">
        <f t="shared" si="23"/>
        <v>1392</v>
      </c>
      <c r="B1394" s="36" t="s">
        <v>4</v>
      </c>
      <c r="C1394" s="36" t="s">
        <v>7588</v>
      </c>
      <c r="D1394" s="9" t="s">
        <v>6776</v>
      </c>
      <c r="E1394" s="9" t="s">
        <v>7196</v>
      </c>
      <c r="F1394" s="9" t="s">
        <v>6774</v>
      </c>
      <c r="G1394" s="36" t="s">
        <v>14</v>
      </c>
      <c r="H1394" s="36" t="str">
        <f>IFERROR(VLOOKUP(Table2[[#This Row], [Ticket]],Okey!A:B,2,0),"")</f>
        <v/>
      </c>
      <c r="I1394" s="36"/>
      <c r="J1394" s="36" t="str">
        <f>VLOOKUP(Table2[[#This Row], [Author]],People!A:B,2,0)</f>
        <v>HC</v>
      </c>
      <c r="M1394" s="36" t="s">
        <v>1613</v>
      </c>
    </row>
    <row r="1395" spans="1:13" x14ac:dyDescent="0.25">
      <c r="A1395" s="49">
        <f t="shared" si="23"/>
        <v>1393</v>
      </c>
      <c r="B1395" s="36" t="s">
        <v>4</v>
      </c>
      <c r="C1395" s="36" t="s">
        <v>7588</v>
      </c>
      <c r="D1395" s="9" t="s">
        <v>6777</v>
      </c>
      <c r="E1395" s="9" t="s">
        <v>7197</v>
      </c>
      <c r="F1395" s="9" t="s">
        <v>6774</v>
      </c>
      <c r="G1395" s="36" t="s">
        <v>14</v>
      </c>
      <c r="H1395" s="36" t="str">
        <f>IFERROR(VLOOKUP(Table2[[#This Row], [Ticket]],Okey!A:B,2,0),"")</f>
        <v/>
      </c>
      <c r="I1395" s="36"/>
      <c r="J1395" s="36" t="str">
        <f>VLOOKUP(Table2[[#This Row], [Author]],People!A:B,2,0)</f>
        <v>HC</v>
      </c>
      <c r="M1395" s="36" t="s">
        <v>1613</v>
      </c>
    </row>
    <row r="1396" spans="1:13" x14ac:dyDescent="0.25">
      <c r="A1396" s="49">
        <f t="shared" si="23"/>
        <v>1394</v>
      </c>
      <c r="B1396" s="36" t="s">
        <v>4</v>
      </c>
      <c r="C1396" s="36" t="s">
        <v>7588</v>
      </c>
      <c r="D1396" s="9" t="s">
        <v>6778</v>
      </c>
      <c r="E1396" s="9" t="s">
        <v>7198</v>
      </c>
      <c r="F1396" s="9" t="s">
        <v>6774</v>
      </c>
      <c r="G1396" s="36" t="s">
        <v>14</v>
      </c>
      <c r="H1396" s="36" t="str">
        <f>IFERROR(VLOOKUP(Table2[[#This Row], [Ticket]],Okey!A:B,2,0),"")</f>
        <v/>
      </c>
      <c r="I1396" s="36"/>
      <c r="J1396" s="36" t="str">
        <f>VLOOKUP(Table2[[#This Row], [Author]],People!A:B,2,0)</f>
        <v>HC</v>
      </c>
      <c r="M1396" s="36" t="s">
        <v>1613</v>
      </c>
    </row>
    <row r="1397" spans="1:13" x14ac:dyDescent="0.25">
      <c r="A1397" s="49">
        <f t="shared" si="23"/>
        <v>1395</v>
      </c>
      <c r="B1397" s="36" t="s">
        <v>4</v>
      </c>
      <c r="C1397" s="36" t="s">
        <v>7588</v>
      </c>
      <c r="D1397" s="9" t="s">
        <v>6779</v>
      </c>
      <c r="E1397" s="9" t="s">
        <v>7199</v>
      </c>
      <c r="F1397" s="9" t="s">
        <v>6774</v>
      </c>
      <c r="G1397" s="36" t="s">
        <v>14</v>
      </c>
      <c r="H1397" s="36" t="str">
        <f>IFERROR(VLOOKUP(Table2[[#This Row], [Ticket]],Okey!A:B,2,0),"")</f>
        <v/>
      </c>
      <c r="I1397" s="36"/>
      <c r="J1397" s="36" t="str">
        <f>VLOOKUP(Table2[[#This Row], [Author]],People!A:B,2,0)</f>
        <v>HC</v>
      </c>
      <c r="M1397" s="36" t="s">
        <v>1613</v>
      </c>
    </row>
    <row r="1398" spans="1:13" x14ac:dyDescent="0.25">
      <c r="A1398" s="49">
        <f t="shared" si="23"/>
        <v>1396</v>
      </c>
      <c r="B1398" s="36" t="s">
        <v>4</v>
      </c>
      <c r="C1398" s="36" t="s">
        <v>7588</v>
      </c>
      <c r="D1398" s="9" t="s">
        <v>6780</v>
      </c>
      <c r="E1398" s="9" t="s">
        <v>7200</v>
      </c>
      <c r="F1398" s="9" t="s">
        <v>6718</v>
      </c>
      <c r="G1398" s="36" t="s">
        <v>14</v>
      </c>
      <c r="H1398" s="36" t="str">
        <f>IFERROR(VLOOKUP(Table2[[#This Row], [Ticket]],Okey!A:B,2,0),"")</f>
        <v/>
      </c>
      <c r="I1398" s="36"/>
      <c r="J1398" s="36" t="str">
        <f>VLOOKUP(Table2[[#This Row], [Author]],People!A:B,2,0)</f>
        <v>HC</v>
      </c>
      <c r="M1398" s="36" t="s">
        <v>1613</v>
      </c>
    </row>
    <row r="1399" spans="1:13" x14ac:dyDescent="0.25">
      <c r="A1399" s="49">
        <f t="shared" si="23"/>
        <v>1397</v>
      </c>
      <c r="B1399" s="36" t="s">
        <v>4</v>
      </c>
      <c r="C1399" s="36" t="s">
        <v>7588</v>
      </c>
      <c r="D1399" s="9" t="s">
        <v>6781</v>
      </c>
      <c r="E1399" s="9" t="s">
        <v>7201</v>
      </c>
      <c r="F1399" s="9" t="s">
        <v>6780</v>
      </c>
      <c r="G1399" s="36" t="s">
        <v>14</v>
      </c>
      <c r="H1399" s="36" t="str">
        <f>IFERROR(VLOOKUP(Table2[[#This Row], [Ticket]],Okey!A:B,2,0),"")</f>
        <v/>
      </c>
      <c r="I1399" s="36"/>
      <c r="J1399" s="36" t="str">
        <f>VLOOKUP(Table2[[#This Row], [Author]],People!A:B,2,0)</f>
        <v>HC</v>
      </c>
      <c r="M1399" s="36" t="s">
        <v>1613</v>
      </c>
    </row>
    <row r="1400" spans="1:13" x14ac:dyDescent="0.25">
      <c r="A1400" s="49">
        <f t="shared" si="23"/>
        <v>1398</v>
      </c>
      <c r="B1400" s="36" t="s">
        <v>4</v>
      </c>
      <c r="C1400" s="36" t="s">
        <v>7588</v>
      </c>
      <c r="D1400" s="9" t="s">
        <v>6782</v>
      </c>
      <c r="E1400" s="9" t="s">
        <v>7202</v>
      </c>
      <c r="F1400" s="9" t="s">
        <v>6780</v>
      </c>
      <c r="G1400" s="36" t="s">
        <v>14</v>
      </c>
      <c r="H1400" s="36" t="str">
        <f>IFERROR(VLOOKUP(Table2[[#This Row], [Ticket]],Okey!A:B,2,0),"")</f>
        <v/>
      </c>
      <c r="I1400" s="36"/>
      <c r="J1400" s="36" t="str">
        <f>VLOOKUP(Table2[[#This Row], [Author]],People!A:B,2,0)</f>
        <v>HC</v>
      </c>
      <c r="M1400" s="36" t="s">
        <v>1613</v>
      </c>
    </row>
    <row r="1401" spans="1:13" x14ac:dyDescent="0.25">
      <c r="A1401" s="49">
        <f t="shared" si="23"/>
        <v>1399</v>
      </c>
      <c r="B1401" s="36" t="s">
        <v>4</v>
      </c>
      <c r="C1401" s="36" t="s">
        <v>7588</v>
      </c>
      <c r="D1401" s="9" t="s">
        <v>6783</v>
      </c>
      <c r="E1401" s="9" t="s">
        <v>7203</v>
      </c>
      <c r="F1401" s="9" t="s">
        <v>6782</v>
      </c>
      <c r="G1401" s="36" t="s">
        <v>14</v>
      </c>
      <c r="H1401" s="36" t="str">
        <f>IFERROR(VLOOKUP(Table2[[#This Row], [Ticket]],Okey!A:B,2,0),"")</f>
        <v/>
      </c>
      <c r="I1401" s="36"/>
      <c r="J1401" s="36" t="str">
        <f>VLOOKUP(Table2[[#This Row], [Author]],People!A:B,2,0)</f>
        <v>HC</v>
      </c>
      <c r="M1401" s="36" t="s">
        <v>1613</v>
      </c>
    </row>
    <row r="1402" spans="1:13" x14ac:dyDescent="0.25">
      <c r="A1402" s="49">
        <f t="shared" si="23"/>
        <v>1400</v>
      </c>
      <c r="B1402" s="36" t="s">
        <v>4</v>
      </c>
      <c r="C1402" s="36" t="s">
        <v>7588</v>
      </c>
      <c r="D1402" s="9" t="s">
        <v>6784</v>
      </c>
      <c r="E1402" s="9" t="s">
        <v>7204</v>
      </c>
      <c r="F1402" s="9" t="s">
        <v>6782</v>
      </c>
      <c r="G1402" s="36" t="s">
        <v>14</v>
      </c>
      <c r="H1402" s="36" t="str">
        <f>IFERROR(VLOOKUP(Table2[[#This Row], [Ticket]],Okey!A:B,2,0),"")</f>
        <v/>
      </c>
      <c r="I1402" s="36"/>
      <c r="J1402" s="36" t="str">
        <f>VLOOKUP(Table2[[#This Row], [Author]],People!A:B,2,0)</f>
        <v>HC</v>
      </c>
      <c r="M1402" s="36" t="s">
        <v>1613</v>
      </c>
    </row>
    <row r="1403" spans="1:13" x14ac:dyDescent="0.25">
      <c r="A1403" s="49">
        <f t="shared" si="23"/>
        <v>1401</v>
      </c>
      <c r="B1403" s="36" t="s">
        <v>4</v>
      </c>
      <c r="C1403" s="36" t="s">
        <v>7588</v>
      </c>
      <c r="D1403" s="9" t="s">
        <v>6785</v>
      </c>
      <c r="E1403" s="9" t="s">
        <v>7205</v>
      </c>
      <c r="F1403" s="9" t="s">
        <v>6780</v>
      </c>
      <c r="G1403" s="36" t="s">
        <v>14</v>
      </c>
      <c r="H1403" s="36" t="str">
        <f>IFERROR(VLOOKUP(Table2[[#This Row], [Ticket]],Okey!A:B,2,0),"")</f>
        <v/>
      </c>
      <c r="I1403" s="36"/>
      <c r="J1403" s="36" t="str">
        <f>VLOOKUP(Table2[[#This Row], [Author]],People!A:B,2,0)</f>
        <v>HC</v>
      </c>
      <c r="M1403" s="36" t="s">
        <v>1613</v>
      </c>
    </row>
    <row r="1404" spans="1:13" x14ac:dyDescent="0.25">
      <c r="A1404" s="49">
        <f t="shared" si="23"/>
        <v>1402</v>
      </c>
      <c r="B1404" s="36" t="s">
        <v>4</v>
      </c>
      <c r="C1404" s="36" t="s">
        <v>7588</v>
      </c>
      <c r="D1404" s="9" t="s">
        <v>6786</v>
      </c>
      <c r="E1404" s="9" t="s">
        <v>7206</v>
      </c>
      <c r="F1404" s="9" t="s">
        <v>6785</v>
      </c>
      <c r="G1404" s="36" t="s">
        <v>14</v>
      </c>
      <c r="H1404" s="36" t="str">
        <f>IFERROR(VLOOKUP(Table2[[#This Row], [Ticket]],Okey!A:B,2,0),"")</f>
        <v/>
      </c>
      <c r="I1404" s="36"/>
      <c r="J1404" s="36" t="str">
        <f>VLOOKUP(Table2[[#This Row], [Author]],People!A:B,2,0)</f>
        <v>HC</v>
      </c>
      <c r="M1404" s="36" t="s">
        <v>1613</v>
      </c>
    </row>
    <row r="1405" spans="1:13" x14ac:dyDescent="0.25">
      <c r="A1405" s="49">
        <f t="shared" si="23"/>
        <v>1403</v>
      </c>
      <c r="B1405" s="36" t="s">
        <v>4</v>
      </c>
      <c r="C1405" s="36" t="s">
        <v>7588</v>
      </c>
      <c r="D1405" s="9" t="s">
        <v>6787</v>
      </c>
      <c r="E1405" s="9" t="s">
        <v>7207</v>
      </c>
      <c r="F1405" s="9" t="s">
        <v>6785</v>
      </c>
      <c r="G1405" s="36" t="s">
        <v>14</v>
      </c>
      <c r="H1405" s="36" t="str">
        <f>IFERROR(VLOOKUP(Table2[[#This Row], [Ticket]],Okey!A:B,2,0),"")</f>
        <v/>
      </c>
      <c r="I1405" s="36"/>
      <c r="J1405" s="36" t="str">
        <f>VLOOKUP(Table2[[#This Row], [Author]],People!A:B,2,0)</f>
        <v>HC</v>
      </c>
      <c r="M1405" s="36" t="s">
        <v>1613</v>
      </c>
    </row>
    <row r="1406" spans="1:13" x14ac:dyDescent="0.25">
      <c r="A1406" s="49">
        <f t="shared" si="23"/>
        <v>1404</v>
      </c>
      <c r="B1406" s="36" t="s">
        <v>4</v>
      </c>
      <c r="C1406" s="36" t="s">
        <v>7588</v>
      </c>
      <c r="D1406" s="9" t="s">
        <v>6788</v>
      </c>
      <c r="E1406" s="9" t="s">
        <v>7208</v>
      </c>
      <c r="F1406" s="9" t="s">
        <v>6716</v>
      </c>
      <c r="G1406" s="36" t="s">
        <v>14</v>
      </c>
      <c r="H1406" s="36" t="str">
        <f>IFERROR(VLOOKUP(Table2[[#This Row], [Ticket]],Okey!A:B,2,0),"")</f>
        <v/>
      </c>
      <c r="I1406" s="36"/>
      <c r="J1406" s="36" t="str">
        <f>VLOOKUP(Table2[[#This Row], [Author]],People!A:B,2,0)</f>
        <v>HC</v>
      </c>
      <c r="M1406" s="36" t="s">
        <v>1613</v>
      </c>
    </row>
    <row r="1407" spans="1:13" x14ac:dyDescent="0.25">
      <c r="A1407" s="49">
        <f t="shared" si="23"/>
        <v>1405</v>
      </c>
      <c r="B1407" s="36" t="s">
        <v>4</v>
      </c>
      <c r="C1407" s="36" t="s">
        <v>7588</v>
      </c>
      <c r="D1407" s="9" t="s">
        <v>6789</v>
      </c>
      <c r="E1407" s="9" t="s">
        <v>7209</v>
      </c>
      <c r="F1407" s="9" t="s">
        <v>6788</v>
      </c>
      <c r="G1407" s="36" t="s">
        <v>14</v>
      </c>
      <c r="H1407" s="36" t="str">
        <f>IFERROR(VLOOKUP(Table2[[#This Row], [Ticket]],Okey!A:B,2,0),"")</f>
        <v/>
      </c>
      <c r="I1407" s="36"/>
      <c r="J1407" s="36" t="str">
        <f>VLOOKUP(Table2[[#This Row], [Author]],People!A:B,2,0)</f>
        <v>HC</v>
      </c>
      <c r="M1407" s="36" t="s">
        <v>1613</v>
      </c>
    </row>
    <row r="1408" spans="1:13" x14ac:dyDescent="0.25">
      <c r="A1408" s="49">
        <f t="shared" si="23"/>
        <v>1406</v>
      </c>
      <c r="B1408" s="36" t="s">
        <v>4</v>
      </c>
      <c r="C1408" s="36" t="s">
        <v>7588</v>
      </c>
      <c r="D1408" s="9" t="s">
        <v>6790</v>
      </c>
      <c r="E1408" s="9" t="s">
        <v>7210</v>
      </c>
      <c r="F1408" s="9" t="s">
        <v>6788</v>
      </c>
      <c r="G1408" s="36" t="s">
        <v>14</v>
      </c>
      <c r="H1408" s="36" t="str">
        <f>IFERROR(VLOOKUP(Table2[[#This Row], [Ticket]],Okey!A:B,2,0),"")</f>
        <v/>
      </c>
      <c r="I1408" s="36"/>
      <c r="J1408" s="36" t="str">
        <f>VLOOKUP(Table2[[#This Row], [Author]],People!A:B,2,0)</f>
        <v>HC</v>
      </c>
      <c r="M1408" s="36" t="s">
        <v>1613</v>
      </c>
    </row>
    <row r="1409" spans="1:13" x14ac:dyDescent="0.25">
      <c r="A1409" s="49">
        <f t="shared" si="23"/>
        <v>1407</v>
      </c>
      <c r="B1409" s="36" t="s">
        <v>4</v>
      </c>
      <c r="C1409" s="36" t="s">
        <v>7588</v>
      </c>
      <c r="D1409" s="9" t="s">
        <v>6791</v>
      </c>
      <c r="E1409" s="9" t="s">
        <v>7211</v>
      </c>
      <c r="F1409" s="9" t="s">
        <v>6788</v>
      </c>
      <c r="G1409" s="36" t="s">
        <v>14</v>
      </c>
      <c r="H1409" s="36" t="str">
        <f>IFERROR(VLOOKUP(Table2[[#This Row], [Ticket]],Okey!A:B,2,0),"")</f>
        <v/>
      </c>
      <c r="I1409" s="36"/>
      <c r="J1409" s="36" t="str">
        <f>VLOOKUP(Table2[[#This Row], [Author]],People!A:B,2,0)</f>
        <v>HC</v>
      </c>
      <c r="M1409" s="36" t="s">
        <v>1613</v>
      </c>
    </row>
    <row r="1410" spans="1:13" x14ac:dyDescent="0.25">
      <c r="A1410" s="49">
        <f t="shared" si="23"/>
        <v>1408</v>
      </c>
      <c r="B1410" s="36" t="s">
        <v>4</v>
      </c>
      <c r="C1410" s="36" t="s">
        <v>7588</v>
      </c>
      <c r="D1410" s="9" t="s">
        <v>6792</v>
      </c>
      <c r="E1410" s="9" t="s">
        <v>7212</v>
      </c>
      <c r="F1410" s="9" t="s">
        <v>6791</v>
      </c>
      <c r="G1410" s="36" t="s">
        <v>14</v>
      </c>
      <c r="H1410" s="36" t="str">
        <f>IFERROR(VLOOKUP(Table2[[#This Row], [Ticket]],Okey!A:B,2,0),"")</f>
        <v/>
      </c>
      <c r="I1410" s="36"/>
      <c r="J1410" s="36" t="str">
        <f>VLOOKUP(Table2[[#This Row], [Author]],People!A:B,2,0)</f>
        <v>HC</v>
      </c>
      <c r="M1410" s="36" t="s">
        <v>1613</v>
      </c>
    </row>
    <row r="1411" spans="1:13" x14ac:dyDescent="0.25">
      <c r="A1411" s="49">
        <f t="shared" si="23"/>
        <v>1409</v>
      </c>
      <c r="B1411" s="36" t="s">
        <v>4</v>
      </c>
      <c r="C1411" s="36" t="s">
        <v>7588</v>
      </c>
      <c r="D1411" s="9" t="s">
        <v>6793</v>
      </c>
      <c r="E1411" s="9" t="s">
        <v>7213</v>
      </c>
      <c r="F1411" s="9" t="s">
        <v>6791</v>
      </c>
      <c r="G1411" s="36" t="s">
        <v>14</v>
      </c>
      <c r="H1411" s="36" t="str">
        <f>IFERROR(VLOOKUP(Table2[[#This Row], [Ticket]],Okey!A:B,2,0),"")</f>
        <v/>
      </c>
      <c r="I1411" s="36"/>
      <c r="J1411" s="36" t="str">
        <f>VLOOKUP(Table2[[#This Row], [Author]],People!A:B,2,0)</f>
        <v>HC</v>
      </c>
      <c r="M1411" s="36" t="s">
        <v>1613</v>
      </c>
    </row>
    <row r="1412" spans="1:13" x14ac:dyDescent="0.25">
      <c r="A1412" s="49">
        <f t="shared" si="23"/>
        <v>1410</v>
      </c>
      <c r="B1412" s="36" t="s">
        <v>4</v>
      </c>
      <c r="C1412" s="36" t="s">
        <v>7588</v>
      </c>
      <c r="D1412" s="9" t="s">
        <v>6794</v>
      </c>
      <c r="E1412" s="9" t="s">
        <v>7214</v>
      </c>
      <c r="F1412" s="9" t="s">
        <v>6788</v>
      </c>
      <c r="G1412" s="36" t="s">
        <v>14</v>
      </c>
      <c r="H1412" s="36" t="str">
        <f>IFERROR(VLOOKUP(Table2[[#This Row], [Ticket]],Okey!A:B,2,0),"")</f>
        <v/>
      </c>
      <c r="I1412" s="36"/>
      <c r="J1412" s="36" t="str">
        <f>VLOOKUP(Table2[[#This Row], [Author]],People!A:B,2,0)</f>
        <v>HC</v>
      </c>
      <c r="M1412" s="36" t="s">
        <v>1613</v>
      </c>
    </row>
    <row r="1413" spans="1:13" x14ac:dyDescent="0.25">
      <c r="A1413" s="49">
        <f t="shared" si="23"/>
        <v>1411</v>
      </c>
      <c r="B1413" s="36" t="s">
        <v>4</v>
      </c>
      <c r="C1413" s="36" t="s">
        <v>7588</v>
      </c>
      <c r="D1413" s="9" t="s">
        <v>6795</v>
      </c>
      <c r="E1413" s="9" t="s">
        <v>7215</v>
      </c>
      <c r="F1413" s="9" t="s">
        <v>6794</v>
      </c>
      <c r="G1413" s="36" t="s">
        <v>14</v>
      </c>
      <c r="H1413" s="36" t="str">
        <f>IFERROR(VLOOKUP(Table2[[#This Row], [Ticket]],Okey!A:B,2,0),"")</f>
        <v/>
      </c>
      <c r="I1413" s="36"/>
      <c r="J1413" s="36" t="str">
        <f>VLOOKUP(Table2[[#This Row], [Author]],People!A:B,2,0)</f>
        <v>HC</v>
      </c>
      <c r="M1413" s="36" t="s">
        <v>1613</v>
      </c>
    </row>
    <row r="1414" spans="1:13" x14ac:dyDescent="0.25">
      <c r="A1414" s="49">
        <f t="shared" si="23"/>
        <v>1412</v>
      </c>
      <c r="B1414" s="36" t="s">
        <v>4</v>
      </c>
      <c r="C1414" s="36" t="s">
        <v>7588</v>
      </c>
      <c r="D1414" s="9" t="s">
        <v>6796</v>
      </c>
      <c r="E1414" s="9" t="s">
        <v>7216</v>
      </c>
      <c r="F1414" s="9" t="s">
        <v>6794</v>
      </c>
      <c r="G1414" s="36" t="s">
        <v>14</v>
      </c>
      <c r="H1414" s="36" t="str">
        <f>IFERROR(VLOOKUP(Table2[[#This Row], [Ticket]],Okey!A:B,2,0),"")</f>
        <v/>
      </c>
      <c r="I1414" s="36"/>
      <c r="J1414" s="36" t="str">
        <f>VLOOKUP(Table2[[#This Row], [Author]],People!A:B,2,0)</f>
        <v>HC</v>
      </c>
      <c r="M1414" s="36" t="s">
        <v>1613</v>
      </c>
    </row>
    <row r="1415" spans="1:13" x14ac:dyDescent="0.25">
      <c r="A1415" s="49">
        <f t="shared" si="23"/>
        <v>1413</v>
      </c>
      <c r="B1415" s="36" t="s">
        <v>4</v>
      </c>
      <c r="C1415" s="36" t="s">
        <v>7588</v>
      </c>
      <c r="D1415" s="9" t="s">
        <v>6797</v>
      </c>
      <c r="E1415" s="9" t="s">
        <v>7217</v>
      </c>
      <c r="F1415" s="9" t="s">
        <v>6794</v>
      </c>
      <c r="G1415" s="36" t="s">
        <v>14</v>
      </c>
      <c r="H1415" s="36" t="str">
        <f>IFERROR(VLOOKUP(Table2[[#This Row], [Ticket]],Okey!A:B,2,0),"")</f>
        <v/>
      </c>
      <c r="I1415" s="36"/>
      <c r="J1415" s="36" t="str">
        <f>VLOOKUP(Table2[[#This Row], [Author]],People!A:B,2,0)</f>
        <v>HC</v>
      </c>
      <c r="M1415" s="36" t="s">
        <v>1613</v>
      </c>
    </row>
    <row r="1416" spans="1:13" x14ac:dyDescent="0.25">
      <c r="A1416" s="49">
        <f t="shared" si="23"/>
        <v>1414</v>
      </c>
      <c r="B1416" s="36" t="s">
        <v>4</v>
      </c>
      <c r="C1416" s="36" t="s">
        <v>7588</v>
      </c>
      <c r="D1416" s="9" t="s">
        <v>6798</v>
      </c>
      <c r="E1416" s="9" t="s">
        <v>7218</v>
      </c>
      <c r="F1416" s="9" t="s">
        <v>6794</v>
      </c>
      <c r="G1416" s="36" t="s">
        <v>14</v>
      </c>
      <c r="H1416" s="36" t="str">
        <f>IFERROR(VLOOKUP(Table2[[#This Row], [Ticket]],Okey!A:B,2,0),"")</f>
        <v/>
      </c>
      <c r="I1416" s="36"/>
      <c r="J1416" s="36" t="str">
        <f>VLOOKUP(Table2[[#This Row], [Author]],People!A:B,2,0)</f>
        <v>HC</v>
      </c>
      <c r="M1416" s="36" t="s">
        <v>1613</v>
      </c>
    </row>
    <row r="1417" spans="1:13" x14ac:dyDescent="0.25">
      <c r="A1417" s="49">
        <f t="shared" si="23"/>
        <v>1415</v>
      </c>
      <c r="B1417" s="36" t="s">
        <v>4</v>
      </c>
      <c r="C1417" s="36" t="s">
        <v>7588</v>
      </c>
      <c r="D1417" s="9" t="s">
        <v>6799</v>
      </c>
      <c r="E1417" s="9" t="s">
        <v>7219</v>
      </c>
      <c r="F1417" s="9" t="s">
        <v>6794</v>
      </c>
      <c r="G1417" s="36" t="s">
        <v>14</v>
      </c>
      <c r="H1417" s="36" t="str">
        <f>IFERROR(VLOOKUP(Table2[[#This Row], [Ticket]],Okey!A:B,2,0),"")</f>
        <v/>
      </c>
      <c r="I1417" s="36"/>
      <c r="J1417" s="36" t="str">
        <f>VLOOKUP(Table2[[#This Row], [Author]],People!A:B,2,0)</f>
        <v>HC</v>
      </c>
      <c r="M1417" s="36" t="s">
        <v>1613</v>
      </c>
    </row>
    <row r="1418" spans="1:13" x14ac:dyDescent="0.25">
      <c r="A1418" s="49">
        <f t="shared" si="23"/>
        <v>1416</v>
      </c>
      <c r="B1418" s="36" t="s">
        <v>4</v>
      </c>
      <c r="C1418" s="36" t="s">
        <v>7588</v>
      </c>
      <c r="D1418" s="9" t="s">
        <v>6800</v>
      </c>
      <c r="E1418" s="9" t="s">
        <v>7220</v>
      </c>
      <c r="F1418" s="9" t="s">
        <v>6718</v>
      </c>
      <c r="G1418" s="36" t="s">
        <v>14</v>
      </c>
      <c r="H1418" s="36" t="str">
        <f>IFERROR(VLOOKUP(Table2[[#This Row], [Ticket]],Okey!A:B,2,0),"")</f>
        <v/>
      </c>
      <c r="I1418" s="36"/>
      <c r="J1418" s="36" t="str">
        <f>VLOOKUP(Table2[[#This Row], [Author]],People!A:B,2,0)</f>
        <v>HC</v>
      </c>
      <c r="M1418" s="36" t="s">
        <v>1613</v>
      </c>
    </row>
    <row r="1419" spans="1:13" x14ac:dyDescent="0.25">
      <c r="A1419" s="49">
        <f t="shared" si="23"/>
        <v>1417</v>
      </c>
      <c r="B1419" s="36" t="s">
        <v>4</v>
      </c>
      <c r="C1419" s="36" t="s">
        <v>7588</v>
      </c>
      <c r="D1419" s="9" t="s">
        <v>6801</v>
      </c>
      <c r="E1419" s="9" t="s">
        <v>7221</v>
      </c>
      <c r="F1419" s="9" t="s">
        <v>6800</v>
      </c>
      <c r="G1419" s="36" t="s">
        <v>14</v>
      </c>
      <c r="H1419" s="36" t="str">
        <f>IFERROR(VLOOKUP(Table2[[#This Row], [Ticket]],Okey!A:B,2,0),"")</f>
        <v/>
      </c>
      <c r="I1419" s="36"/>
      <c r="J1419" s="36" t="str">
        <f>VLOOKUP(Table2[[#This Row], [Author]],People!A:B,2,0)</f>
        <v>HC</v>
      </c>
      <c r="M1419" s="36" t="s">
        <v>1613</v>
      </c>
    </row>
    <row r="1420" spans="1:13" x14ac:dyDescent="0.25">
      <c r="A1420" s="49">
        <f t="shared" si="23"/>
        <v>1418</v>
      </c>
      <c r="B1420" s="36" t="s">
        <v>4</v>
      </c>
      <c r="C1420" s="36" t="s">
        <v>7588</v>
      </c>
      <c r="D1420" s="9" t="s">
        <v>6802</v>
      </c>
      <c r="E1420" s="9" t="s">
        <v>7222</v>
      </c>
      <c r="F1420" s="9" t="s">
        <v>6800</v>
      </c>
      <c r="G1420" s="36" t="s">
        <v>14</v>
      </c>
      <c r="H1420" s="36" t="str">
        <f>IFERROR(VLOOKUP(Table2[[#This Row], [Ticket]],Okey!A:B,2,0),"")</f>
        <v/>
      </c>
      <c r="I1420" s="36"/>
      <c r="J1420" s="36" t="str">
        <f>VLOOKUP(Table2[[#This Row], [Author]],People!A:B,2,0)</f>
        <v>HC</v>
      </c>
      <c r="M1420" s="36" t="s">
        <v>1613</v>
      </c>
    </row>
    <row r="1421" spans="1:13" x14ac:dyDescent="0.25">
      <c r="A1421" s="49">
        <f t="shared" si="23"/>
        <v>1419</v>
      </c>
      <c r="B1421" s="36" t="s">
        <v>4</v>
      </c>
      <c r="C1421" s="36" t="s">
        <v>7588</v>
      </c>
      <c r="D1421" s="9" t="s">
        <v>6803</v>
      </c>
      <c r="E1421" s="9" t="s">
        <v>7223</v>
      </c>
      <c r="F1421" s="9" t="s">
        <v>6802</v>
      </c>
      <c r="G1421" s="36" t="s">
        <v>14</v>
      </c>
      <c r="H1421" s="36" t="str">
        <f>IFERROR(VLOOKUP(Table2[[#This Row], [Ticket]],Okey!A:B,2,0),"")</f>
        <v/>
      </c>
      <c r="I1421" s="36"/>
      <c r="J1421" s="36" t="str">
        <f>VLOOKUP(Table2[[#This Row], [Author]],People!A:B,2,0)</f>
        <v>HC</v>
      </c>
      <c r="M1421" s="36" t="s">
        <v>1613</v>
      </c>
    </row>
    <row r="1422" spans="1:13" x14ac:dyDescent="0.25">
      <c r="A1422" s="49">
        <f t="shared" si="23"/>
        <v>1420</v>
      </c>
      <c r="B1422" s="36" t="s">
        <v>4</v>
      </c>
      <c r="C1422" s="36" t="s">
        <v>7588</v>
      </c>
      <c r="D1422" s="9" t="s">
        <v>6804</v>
      </c>
      <c r="E1422" s="9" t="s">
        <v>7224</v>
      </c>
      <c r="F1422" s="9" t="s">
        <v>6802</v>
      </c>
      <c r="G1422" s="36" t="s">
        <v>14</v>
      </c>
      <c r="H1422" s="36" t="str">
        <f>IFERROR(VLOOKUP(Table2[[#This Row], [Ticket]],Okey!A:B,2,0),"")</f>
        <v/>
      </c>
      <c r="I1422" s="36"/>
      <c r="J1422" s="36" t="str">
        <f>VLOOKUP(Table2[[#This Row], [Author]],People!A:B,2,0)</f>
        <v>HC</v>
      </c>
      <c r="M1422" s="36" t="s">
        <v>1613</v>
      </c>
    </row>
    <row r="1423" spans="1:13" x14ac:dyDescent="0.25">
      <c r="A1423" s="49">
        <f t="shared" si="23"/>
        <v>1421</v>
      </c>
      <c r="B1423" s="36" t="s">
        <v>4</v>
      </c>
      <c r="C1423" s="36" t="s">
        <v>7588</v>
      </c>
      <c r="D1423" s="9" t="s">
        <v>6805</v>
      </c>
      <c r="E1423" s="9" t="s">
        <v>7225</v>
      </c>
      <c r="F1423" s="9" t="s">
        <v>6800</v>
      </c>
      <c r="G1423" s="36" t="s">
        <v>14</v>
      </c>
      <c r="H1423" s="36" t="str">
        <f>IFERROR(VLOOKUP(Table2[[#This Row], [Ticket]],Okey!A:B,2,0),"")</f>
        <v/>
      </c>
      <c r="I1423" s="36"/>
      <c r="J1423" s="36" t="str">
        <f>VLOOKUP(Table2[[#This Row], [Author]],People!A:B,2,0)</f>
        <v>HC</v>
      </c>
      <c r="M1423" s="36" t="s">
        <v>1613</v>
      </c>
    </row>
    <row r="1424" spans="1:13" x14ac:dyDescent="0.25">
      <c r="A1424" s="49">
        <f t="shared" si="23"/>
        <v>1422</v>
      </c>
      <c r="B1424" s="36" t="s">
        <v>4</v>
      </c>
      <c r="C1424" s="36" t="s">
        <v>7588</v>
      </c>
      <c r="D1424" s="9" t="s">
        <v>6806</v>
      </c>
      <c r="E1424" s="9" t="s">
        <v>7226</v>
      </c>
      <c r="F1424" s="9" t="s">
        <v>6805</v>
      </c>
      <c r="G1424" s="36" t="s">
        <v>14</v>
      </c>
      <c r="H1424" s="36" t="str">
        <f>IFERROR(VLOOKUP(Table2[[#This Row], [Ticket]],Okey!A:B,2,0),"")</f>
        <v/>
      </c>
      <c r="I1424" s="36"/>
      <c r="J1424" s="36" t="str">
        <f>VLOOKUP(Table2[[#This Row], [Author]],People!A:B,2,0)</f>
        <v>HC</v>
      </c>
      <c r="M1424" s="36" t="s">
        <v>1613</v>
      </c>
    </row>
    <row r="1425" spans="1:13" x14ac:dyDescent="0.25">
      <c r="A1425" s="49">
        <f t="shared" si="23"/>
        <v>1423</v>
      </c>
      <c r="B1425" s="36" t="s">
        <v>4</v>
      </c>
      <c r="C1425" s="36" t="s">
        <v>7588</v>
      </c>
      <c r="D1425" s="9" t="s">
        <v>6807</v>
      </c>
      <c r="E1425" s="9" t="s">
        <v>7227</v>
      </c>
      <c r="F1425" s="9" t="s">
        <v>6805</v>
      </c>
      <c r="G1425" s="36" t="s">
        <v>14</v>
      </c>
      <c r="H1425" s="36" t="str">
        <f>IFERROR(VLOOKUP(Table2[[#This Row], [Ticket]],Okey!A:B,2,0),"")</f>
        <v/>
      </c>
      <c r="I1425" s="36"/>
      <c r="J1425" s="36" t="str">
        <f>VLOOKUP(Table2[[#This Row], [Author]],People!A:B,2,0)</f>
        <v>HC</v>
      </c>
      <c r="M1425" s="36" t="s">
        <v>1613</v>
      </c>
    </row>
    <row r="1426" spans="1:13" x14ac:dyDescent="0.25">
      <c r="A1426" s="49">
        <f t="shared" si="23"/>
        <v>1424</v>
      </c>
      <c r="B1426" s="36" t="s">
        <v>4</v>
      </c>
      <c r="C1426" s="36" t="s">
        <v>7588</v>
      </c>
      <c r="D1426" s="9" t="s">
        <v>6808</v>
      </c>
      <c r="E1426" s="9" t="s">
        <v>7228</v>
      </c>
      <c r="F1426" s="9" t="s">
        <v>6716</v>
      </c>
      <c r="G1426" s="36" t="s">
        <v>14</v>
      </c>
      <c r="H1426" s="36" t="str">
        <f>IFERROR(VLOOKUP(Table2[[#This Row], [Ticket]],Okey!A:B,2,0),"")</f>
        <v/>
      </c>
      <c r="I1426" s="36"/>
      <c r="J1426" s="36" t="str">
        <f>VLOOKUP(Table2[[#This Row], [Author]],People!A:B,2,0)</f>
        <v>HC</v>
      </c>
      <c r="M1426" s="36" t="s">
        <v>1613</v>
      </c>
    </row>
    <row r="1427" spans="1:13" x14ac:dyDescent="0.25">
      <c r="A1427" s="49">
        <f t="shared" si="23"/>
        <v>1425</v>
      </c>
      <c r="B1427" s="36" t="s">
        <v>4</v>
      </c>
      <c r="C1427" s="36" t="s">
        <v>7588</v>
      </c>
      <c r="D1427" s="9" t="s">
        <v>6809</v>
      </c>
      <c r="E1427" s="9" t="s">
        <v>7229</v>
      </c>
      <c r="F1427" s="9" t="s">
        <v>6808</v>
      </c>
      <c r="G1427" s="36" t="s">
        <v>14</v>
      </c>
      <c r="H1427" s="36" t="str">
        <f>IFERROR(VLOOKUP(Table2[[#This Row], [Ticket]],Okey!A:B,2,0),"")</f>
        <v/>
      </c>
      <c r="I1427" s="36"/>
      <c r="J1427" s="36" t="str">
        <f>VLOOKUP(Table2[[#This Row], [Author]],People!A:B,2,0)</f>
        <v>HC</v>
      </c>
      <c r="M1427" s="36" t="s">
        <v>1613</v>
      </c>
    </row>
    <row r="1428" spans="1:13" x14ac:dyDescent="0.25">
      <c r="A1428" s="49">
        <f t="shared" si="23"/>
        <v>1426</v>
      </c>
      <c r="B1428" s="36" t="s">
        <v>4</v>
      </c>
      <c r="C1428" s="36" t="s">
        <v>7588</v>
      </c>
      <c r="D1428" s="9" t="s">
        <v>6810</v>
      </c>
      <c r="E1428" s="9" t="s">
        <v>7230</v>
      </c>
      <c r="F1428" s="9" t="s">
        <v>6808</v>
      </c>
      <c r="G1428" s="36" t="s">
        <v>14</v>
      </c>
      <c r="H1428" s="36" t="str">
        <f>IFERROR(VLOOKUP(Table2[[#This Row], [Ticket]],Okey!A:B,2,0),"")</f>
        <v/>
      </c>
      <c r="I1428" s="36"/>
      <c r="J1428" s="36" t="str">
        <f>VLOOKUP(Table2[[#This Row], [Author]],People!A:B,2,0)</f>
        <v>HC</v>
      </c>
      <c r="M1428" s="36" t="s">
        <v>1613</v>
      </c>
    </row>
    <row r="1429" spans="1:13" x14ac:dyDescent="0.25">
      <c r="A1429" s="49">
        <f t="shared" ref="A1429:A1492" si="24">1+A1428</f>
        <v>1427</v>
      </c>
      <c r="B1429" s="36" t="s">
        <v>4</v>
      </c>
      <c r="C1429" s="36" t="s">
        <v>7588</v>
      </c>
      <c r="D1429" s="9" t="s">
        <v>6811</v>
      </c>
      <c r="E1429" s="9" t="s">
        <v>7231</v>
      </c>
      <c r="F1429" s="9" t="s">
        <v>6808</v>
      </c>
      <c r="G1429" s="36" t="s">
        <v>14</v>
      </c>
      <c r="H1429" s="36" t="str">
        <f>IFERROR(VLOOKUP(Table2[[#This Row], [Ticket]],Okey!A:B,2,0),"")</f>
        <v/>
      </c>
      <c r="I1429" s="36"/>
      <c r="J1429" s="36" t="str">
        <f>VLOOKUP(Table2[[#This Row], [Author]],People!A:B,2,0)</f>
        <v>HC</v>
      </c>
      <c r="M1429" s="36" t="s">
        <v>1613</v>
      </c>
    </row>
    <row r="1430" spans="1:13" x14ac:dyDescent="0.25">
      <c r="A1430" s="49">
        <f t="shared" si="24"/>
        <v>1428</v>
      </c>
      <c r="B1430" s="36" t="s">
        <v>4</v>
      </c>
      <c r="C1430" s="36" t="s">
        <v>7588</v>
      </c>
      <c r="D1430" s="9" t="s">
        <v>6812</v>
      </c>
      <c r="E1430" s="9" t="s">
        <v>7232</v>
      </c>
      <c r="F1430" s="9" t="s">
        <v>6811</v>
      </c>
      <c r="G1430" s="36" t="s">
        <v>14</v>
      </c>
      <c r="H1430" s="36" t="str">
        <f>IFERROR(VLOOKUP(Table2[[#This Row], [Ticket]],Okey!A:B,2,0),"")</f>
        <v/>
      </c>
      <c r="I1430" s="36"/>
      <c r="J1430" s="36" t="str">
        <f>VLOOKUP(Table2[[#This Row], [Author]],People!A:B,2,0)</f>
        <v>HC</v>
      </c>
      <c r="M1430" s="36" t="s">
        <v>1613</v>
      </c>
    </row>
    <row r="1431" spans="1:13" x14ac:dyDescent="0.25">
      <c r="A1431" s="49">
        <f t="shared" si="24"/>
        <v>1429</v>
      </c>
      <c r="B1431" s="36" t="s">
        <v>4</v>
      </c>
      <c r="C1431" s="36" t="s">
        <v>7588</v>
      </c>
      <c r="D1431" s="9" t="s">
        <v>6813</v>
      </c>
      <c r="E1431" s="9" t="s">
        <v>7233</v>
      </c>
      <c r="F1431" s="9" t="s">
        <v>6811</v>
      </c>
      <c r="G1431" s="36" t="s">
        <v>14</v>
      </c>
      <c r="H1431" s="36" t="str">
        <f>IFERROR(VLOOKUP(Table2[[#This Row], [Ticket]],Okey!A:B,2,0),"")</f>
        <v/>
      </c>
      <c r="I1431" s="36"/>
      <c r="J1431" s="36" t="str">
        <f>VLOOKUP(Table2[[#This Row], [Author]],People!A:B,2,0)</f>
        <v>HC</v>
      </c>
      <c r="M1431" s="36" t="s">
        <v>1613</v>
      </c>
    </row>
    <row r="1432" spans="1:13" x14ac:dyDescent="0.25">
      <c r="A1432" s="49">
        <f t="shared" si="24"/>
        <v>1430</v>
      </c>
      <c r="B1432" s="36" t="s">
        <v>4</v>
      </c>
      <c r="C1432" s="36" t="s">
        <v>7588</v>
      </c>
      <c r="D1432" s="9" t="s">
        <v>6814</v>
      </c>
      <c r="E1432" s="9" t="s">
        <v>7234</v>
      </c>
      <c r="F1432" s="9" t="s">
        <v>6808</v>
      </c>
      <c r="G1432" s="36" t="s">
        <v>14</v>
      </c>
      <c r="H1432" s="36" t="str">
        <f>IFERROR(VLOOKUP(Table2[[#This Row], [Ticket]],Okey!A:B,2,0),"")</f>
        <v/>
      </c>
      <c r="I1432" s="36"/>
      <c r="J1432" s="36" t="str">
        <f>VLOOKUP(Table2[[#This Row], [Author]],People!A:B,2,0)</f>
        <v>HC</v>
      </c>
      <c r="M1432" s="36" t="s">
        <v>1613</v>
      </c>
    </row>
    <row r="1433" spans="1:13" x14ac:dyDescent="0.25">
      <c r="A1433" s="49">
        <f t="shared" si="24"/>
        <v>1431</v>
      </c>
      <c r="B1433" s="36" t="s">
        <v>4</v>
      </c>
      <c r="C1433" s="36" t="s">
        <v>7588</v>
      </c>
      <c r="D1433" s="9" t="s">
        <v>6815</v>
      </c>
      <c r="E1433" s="9" t="s">
        <v>7235</v>
      </c>
      <c r="F1433" s="9" t="s">
        <v>6814</v>
      </c>
      <c r="G1433" s="36" t="s">
        <v>14</v>
      </c>
      <c r="H1433" s="36" t="str">
        <f>IFERROR(VLOOKUP(Table2[[#This Row], [Ticket]],Okey!A:B,2,0),"")</f>
        <v/>
      </c>
      <c r="I1433" s="36"/>
      <c r="J1433" s="36" t="str">
        <f>VLOOKUP(Table2[[#This Row], [Author]],People!A:B,2,0)</f>
        <v>HC</v>
      </c>
      <c r="M1433" s="36" t="s">
        <v>1613</v>
      </c>
    </row>
    <row r="1434" spans="1:13" x14ac:dyDescent="0.25">
      <c r="A1434" s="49">
        <f t="shared" si="24"/>
        <v>1432</v>
      </c>
      <c r="B1434" s="36" t="s">
        <v>4</v>
      </c>
      <c r="C1434" s="36" t="s">
        <v>7588</v>
      </c>
      <c r="D1434" s="9" t="s">
        <v>6816</v>
      </c>
      <c r="E1434" s="9" t="s">
        <v>7236</v>
      </c>
      <c r="F1434" s="9" t="s">
        <v>6814</v>
      </c>
      <c r="G1434" s="36" t="s">
        <v>14</v>
      </c>
      <c r="H1434" s="36" t="str">
        <f>IFERROR(VLOOKUP(Table2[[#This Row], [Ticket]],Okey!A:B,2,0),"")</f>
        <v/>
      </c>
      <c r="I1434" s="36"/>
      <c r="J1434" s="36" t="str">
        <f>VLOOKUP(Table2[[#This Row], [Author]],People!A:B,2,0)</f>
        <v>HC</v>
      </c>
      <c r="M1434" s="36" t="s">
        <v>1613</v>
      </c>
    </row>
    <row r="1435" spans="1:13" x14ac:dyDescent="0.25">
      <c r="A1435" s="49">
        <f t="shared" si="24"/>
        <v>1433</v>
      </c>
      <c r="B1435" s="36" t="s">
        <v>4</v>
      </c>
      <c r="C1435" s="36" t="s">
        <v>7588</v>
      </c>
      <c r="D1435" s="9" t="s">
        <v>6817</v>
      </c>
      <c r="E1435" s="9" t="s">
        <v>7237</v>
      </c>
      <c r="F1435" s="9" t="s">
        <v>6814</v>
      </c>
      <c r="G1435" s="36" t="s">
        <v>14</v>
      </c>
      <c r="H1435" s="36" t="str">
        <f>IFERROR(VLOOKUP(Table2[[#This Row], [Ticket]],Okey!A:B,2,0),"")</f>
        <v/>
      </c>
      <c r="I1435" s="36"/>
      <c r="J1435" s="36" t="str">
        <f>VLOOKUP(Table2[[#This Row], [Author]],People!A:B,2,0)</f>
        <v>HC</v>
      </c>
      <c r="M1435" s="36" t="s">
        <v>1613</v>
      </c>
    </row>
    <row r="1436" spans="1:13" x14ac:dyDescent="0.25">
      <c r="A1436" s="49">
        <f t="shared" si="24"/>
        <v>1434</v>
      </c>
      <c r="B1436" s="36" t="s">
        <v>4</v>
      </c>
      <c r="C1436" s="36" t="s">
        <v>7588</v>
      </c>
      <c r="D1436" s="9" t="s">
        <v>6818</v>
      </c>
      <c r="E1436" s="9" t="s">
        <v>7238</v>
      </c>
      <c r="F1436" s="9" t="s">
        <v>6814</v>
      </c>
      <c r="G1436" s="36" t="s">
        <v>14</v>
      </c>
      <c r="H1436" s="36" t="str">
        <f>IFERROR(VLOOKUP(Table2[[#This Row], [Ticket]],Okey!A:B,2,0),"")</f>
        <v/>
      </c>
      <c r="I1436" s="36"/>
      <c r="J1436" s="36" t="str">
        <f>VLOOKUP(Table2[[#This Row], [Author]],People!A:B,2,0)</f>
        <v>HC</v>
      </c>
      <c r="M1436" s="36" t="s">
        <v>1613</v>
      </c>
    </row>
    <row r="1437" spans="1:13" x14ac:dyDescent="0.25">
      <c r="A1437" s="49">
        <f t="shared" si="24"/>
        <v>1435</v>
      </c>
      <c r="B1437" s="36" t="s">
        <v>4</v>
      </c>
      <c r="C1437" s="36" t="s">
        <v>7588</v>
      </c>
      <c r="D1437" s="9" t="s">
        <v>6819</v>
      </c>
      <c r="E1437" s="9" t="s">
        <v>7239</v>
      </c>
      <c r="F1437" s="9" t="s">
        <v>6814</v>
      </c>
      <c r="G1437" s="36" t="s">
        <v>14</v>
      </c>
      <c r="H1437" s="36" t="str">
        <f>IFERROR(VLOOKUP(Table2[[#This Row], [Ticket]],Okey!A:B,2,0),"")</f>
        <v/>
      </c>
      <c r="I1437" s="36"/>
      <c r="J1437" s="36" t="str">
        <f>VLOOKUP(Table2[[#This Row], [Author]],People!A:B,2,0)</f>
        <v>HC</v>
      </c>
      <c r="M1437" s="36" t="s">
        <v>1613</v>
      </c>
    </row>
    <row r="1438" spans="1:13" x14ac:dyDescent="0.25">
      <c r="A1438" s="49">
        <f t="shared" si="24"/>
        <v>1436</v>
      </c>
      <c r="B1438" s="36" t="s">
        <v>4</v>
      </c>
      <c r="C1438" s="36" t="s">
        <v>7588</v>
      </c>
      <c r="D1438" s="9" t="s">
        <v>6820</v>
      </c>
      <c r="E1438" s="9" t="s">
        <v>7240</v>
      </c>
      <c r="F1438" s="9" t="s">
        <v>6718</v>
      </c>
      <c r="G1438" s="36" t="s">
        <v>14</v>
      </c>
      <c r="H1438" s="36" t="str">
        <f>IFERROR(VLOOKUP(Table2[[#This Row], [Ticket]],Okey!A:B,2,0),"")</f>
        <v/>
      </c>
      <c r="I1438" s="36"/>
      <c r="J1438" s="36" t="str">
        <f>VLOOKUP(Table2[[#This Row], [Author]],People!A:B,2,0)</f>
        <v>HC</v>
      </c>
      <c r="M1438" s="36" t="s">
        <v>1613</v>
      </c>
    </row>
    <row r="1439" spans="1:13" x14ac:dyDescent="0.25">
      <c r="A1439" s="49">
        <f t="shared" si="24"/>
        <v>1437</v>
      </c>
      <c r="B1439" s="36" t="s">
        <v>4</v>
      </c>
      <c r="C1439" s="36" t="s">
        <v>7588</v>
      </c>
      <c r="D1439" s="9" t="s">
        <v>6821</v>
      </c>
      <c r="E1439" s="9" t="s">
        <v>7241</v>
      </c>
      <c r="F1439" s="9" t="s">
        <v>6820</v>
      </c>
      <c r="G1439" s="36" t="s">
        <v>14</v>
      </c>
      <c r="H1439" s="36" t="str">
        <f>IFERROR(VLOOKUP(Table2[[#This Row], [Ticket]],Okey!A:B,2,0),"")</f>
        <v/>
      </c>
      <c r="I1439" s="36"/>
      <c r="J1439" s="36" t="str">
        <f>VLOOKUP(Table2[[#This Row], [Author]],People!A:B,2,0)</f>
        <v>HC</v>
      </c>
      <c r="M1439" s="36" t="s">
        <v>1613</v>
      </c>
    </row>
    <row r="1440" spans="1:13" x14ac:dyDescent="0.25">
      <c r="A1440" s="49">
        <f t="shared" si="24"/>
        <v>1438</v>
      </c>
      <c r="B1440" s="36" t="s">
        <v>4</v>
      </c>
      <c r="C1440" s="36" t="s">
        <v>7588</v>
      </c>
      <c r="D1440" s="9" t="s">
        <v>6822</v>
      </c>
      <c r="E1440" s="9" t="s">
        <v>7242</v>
      </c>
      <c r="F1440" s="9" t="s">
        <v>6820</v>
      </c>
      <c r="G1440" s="36" t="s">
        <v>14</v>
      </c>
      <c r="H1440" s="36" t="str">
        <f>IFERROR(VLOOKUP(Table2[[#This Row], [Ticket]],Okey!A:B,2,0),"")</f>
        <v/>
      </c>
      <c r="I1440" s="36"/>
      <c r="J1440" s="36" t="str">
        <f>VLOOKUP(Table2[[#This Row], [Author]],People!A:B,2,0)</f>
        <v>HC</v>
      </c>
      <c r="M1440" s="36" t="s">
        <v>1613</v>
      </c>
    </row>
    <row r="1441" spans="1:13" x14ac:dyDescent="0.25">
      <c r="A1441" s="49">
        <f t="shared" si="24"/>
        <v>1439</v>
      </c>
      <c r="B1441" s="36" t="s">
        <v>4</v>
      </c>
      <c r="C1441" s="36" t="s">
        <v>7588</v>
      </c>
      <c r="D1441" s="9" t="s">
        <v>6823</v>
      </c>
      <c r="E1441" s="9" t="s">
        <v>7243</v>
      </c>
      <c r="F1441" s="9" t="s">
        <v>6822</v>
      </c>
      <c r="G1441" s="36" t="s">
        <v>14</v>
      </c>
      <c r="H1441" s="36" t="str">
        <f>IFERROR(VLOOKUP(Table2[[#This Row], [Ticket]],Okey!A:B,2,0),"")</f>
        <v/>
      </c>
      <c r="I1441" s="36"/>
      <c r="J1441" s="36" t="str">
        <f>VLOOKUP(Table2[[#This Row], [Author]],People!A:B,2,0)</f>
        <v>HC</v>
      </c>
      <c r="M1441" s="36" t="s">
        <v>1613</v>
      </c>
    </row>
    <row r="1442" spans="1:13" x14ac:dyDescent="0.25">
      <c r="A1442" s="49">
        <f t="shared" si="24"/>
        <v>1440</v>
      </c>
      <c r="B1442" s="36" t="s">
        <v>4</v>
      </c>
      <c r="C1442" s="36" t="s">
        <v>7588</v>
      </c>
      <c r="D1442" s="9" t="s">
        <v>6824</v>
      </c>
      <c r="E1442" s="9" t="s">
        <v>7244</v>
      </c>
      <c r="F1442" s="9" t="s">
        <v>6822</v>
      </c>
      <c r="G1442" s="36" t="s">
        <v>14</v>
      </c>
      <c r="H1442" s="36" t="str">
        <f>IFERROR(VLOOKUP(Table2[[#This Row], [Ticket]],Okey!A:B,2,0),"")</f>
        <v/>
      </c>
      <c r="I1442" s="36"/>
      <c r="J1442" s="36" t="str">
        <f>VLOOKUP(Table2[[#This Row], [Author]],People!A:B,2,0)</f>
        <v>HC</v>
      </c>
      <c r="M1442" s="36" t="s">
        <v>1613</v>
      </c>
    </row>
    <row r="1443" spans="1:13" x14ac:dyDescent="0.25">
      <c r="A1443" s="49">
        <f t="shared" si="24"/>
        <v>1441</v>
      </c>
      <c r="B1443" s="36" t="s">
        <v>4</v>
      </c>
      <c r="C1443" s="36" t="s">
        <v>7588</v>
      </c>
      <c r="D1443" s="9" t="s">
        <v>6825</v>
      </c>
      <c r="E1443" s="9" t="s">
        <v>7245</v>
      </c>
      <c r="F1443" s="9" t="s">
        <v>6820</v>
      </c>
      <c r="G1443" s="36" t="s">
        <v>14</v>
      </c>
      <c r="H1443" s="36" t="str">
        <f>IFERROR(VLOOKUP(Table2[[#This Row], [Ticket]],Okey!A:B,2,0),"")</f>
        <v/>
      </c>
      <c r="I1443" s="36"/>
      <c r="J1443" s="36" t="str">
        <f>VLOOKUP(Table2[[#This Row], [Author]],People!A:B,2,0)</f>
        <v>HC</v>
      </c>
      <c r="M1443" s="36" t="s">
        <v>1613</v>
      </c>
    </row>
    <row r="1444" spans="1:13" x14ac:dyDescent="0.25">
      <c r="A1444" s="49">
        <f t="shared" si="24"/>
        <v>1442</v>
      </c>
      <c r="B1444" s="36" t="s">
        <v>4</v>
      </c>
      <c r="C1444" s="36" t="s">
        <v>7588</v>
      </c>
      <c r="D1444" s="9" t="s">
        <v>6826</v>
      </c>
      <c r="E1444" s="9" t="s">
        <v>7246</v>
      </c>
      <c r="F1444" s="9" t="s">
        <v>6825</v>
      </c>
      <c r="G1444" s="36" t="s">
        <v>14</v>
      </c>
      <c r="H1444" s="36" t="str">
        <f>IFERROR(VLOOKUP(Table2[[#This Row], [Ticket]],Okey!A:B,2,0),"")</f>
        <v/>
      </c>
      <c r="I1444" s="36"/>
      <c r="J1444" s="36" t="str">
        <f>VLOOKUP(Table2[[#This Row], [Author]],People!A:B,2,0)</f>
        <v>HC</v>
      </c>
      <c r="M1444" s="36" t="s">
        <v>1613</v>
      </c>
    </row>
    <row r="1445" spans="1:13" x14ac:dyDescent="0.25">
      <c r="A1445" s="49">
        <f t="shared" si="24"/>
        <v>1443</v>
      </c>
      <c r="B1445" s="36" t="s">
        <v>4</v>
      </c>
      <c r="C1445" s="36" t="s">
        <v>7588</v>
      </c>
      <c r="D1445" s="9" t="s">
        <v>6827</v>
      </c>
      <c r="E1445" s="9" t="s">
        <v>7247</v>
      </c>
      <c r="F1445" s="9" t="s">
        <v>6825</v>
      </c>
      <c r="G1445" s="36" t="s">
        <v>14</v>
      </c>
      <c r="H1445" s="36" t="str">
        <f>IFERROR(VLOOKUP(Table2[[#This Row], [Ticket]],Okey!A:B,2,0),"")</f>
        <v/>
      </c>
      <c r="I1445" s="36"/>
      <c r="J1445" s="36" t="str">
        <f>VLOOKUP(Table2[[#This Row], [Author]],People!A:B,2,0)</f>
        <v>HC</v>
      </c>
      <c r="M1445" s="36" t="s">
        <v>1613</v>
      </c>
    </row>
    <row r="1446" spans="1:13" x14ac:dyDescent="0.25">
      <c r="A1446" s="49">
        <f t="shared" si="24"/>
        <v>1444</v>
      </c>
      <c r="B1446" s="36" t="s">
        <v>4</v>
      </c>
      <c r="C1446" s="36" t="s">
        <v>7588</v>
      </c>
      <c r="D1446" s="9" t="s">
        <v>6828</v>
      </c>
      <c r="E1446" s="9" t="s">
        <v>7248</v>
      </c>
      <c r="F1446" s="9" t="s">
        <v>6716</v>
      </c>
      <c r="G1446" s="36" t="s">
        <v>14</v>
      </c>
      <c r="H1446" s="36" t="str">
        <f>IFERROR(VLOOKUP(Table2[[#This Row], [Ticket]],Okey!A:B,2,0),"")</f>
        <v/>
      </c>
      <c r="I1446" s="36"/>
      <c r="J1446" s="36" t="str">
        <f>VLOOKUP(Table2[[#This Row], [Author]],People!A:B,2,0)</f>
        <v>HC</v>
      </c>
      <c r="M1446" s="36" t="s">
        <v>1613</v>
      </c>
    </row>
    <row r="1447" spans="1:13" x14ac:dyDescent="0.25">
      <c r="A1447" s="49">
        <f t="shared" si="24"/>
        <v>1445</v>
      </c>
      <c r="B1447" s="36" t="s">
        <v>4</v>
      </c>
      <c r="C1447" s="36" t="s">
        <v>7588</v>
      </c>
      <c r="D1447" s="9" t="s">
        <v>6829</v>
      </c>
      <c r="E1447" s="9" t="s">
        <v>7249</v>
      </c>
      <c r="F1447" s="9" t="s">
        <v>6828</v>
      </c>
      <c r="G1447" s="36" t="s">
        <v>14</v>
      </c>
      <c r="H1447" s="36" t="str">
        <f>IFERROR(VLOOKUP(Table2[[#This Row], [Ticket]],Okey!A:B,2,0),"")</f>
        <v/>
      </c>
      <c r="I1447" s="36"/>
      <c r="J1447" s="36" t="str">
        <f>VLOOKUP(Table2[[#This Row], [Author]],People!A:B,2,0)</f>
        <v>HC</v>
      </c>
      <c r="M1447" s="36" t="s">
        <v>1613</v>
      </c>
    </row>
    <row r="1448" spans="1:13" x14ac:dyDescent="0.25">
      <c r="A1448" s="49">
        <f t="shared" si="24"/>
        <v>1446</v>
      </c>
      <c r="B1448" s="36" t="s">
        <v>4</v>
      </c>
      <c r="C1448" s="36" t="s">
        <v>7588</v>
      </c>
      <c r="D1448" s="9" t="s">
        <v>6830</v>
      </c>
      <c r="E1448" s="9" t="s">
        <v>7250</v>
      </c>
      <c r="F1448" s="9" t="s">
        <v>6828</v>
      </c>
      <c r="G1448" s="36" t="s">
        <v>14</v>
      </c>
      <c r="H1448" s="36" t="str">
        <f>IFERROR(VLOOKUP(Table2[[#This Row], [Ticket]],Okey!A:B,2,0),"")</f>
        <v/>
      </c>
      <c r="I1448" s="36"/>
      <c r="J1448" s="36" t="str">
        <f>VLOOKUP(Table2[[#This Row], [Author]],People!A:B,2,0)</f>
        <v>HC</v>
      </c>
      <c r="M1448" s="36" t="s">
        <v>1613</v>
      </c>
    </row>
    <row r="1449" spans="1:13" x14ac:dyDescent="0.25">
      <c r="A1449" s="49">
        <f t="shared" si="24"/>
        <v>1447</v>
      </c>
      <c r="B1449" s="36" t="s">
        <v>4</v>
      </c>
      <c r="C1449" s="36" t="s">
        <v>7588</v>
      </c>
      <c r="D1449" s="9" t="s">
        <v>6831</v>
      </c>
      <c r="E1449" s="9" t="s">
        <v>7251</v>
      </c>
      <c r="F1449" s="9" t="s">
        <v>6828</v>
      </c>
      <c r="G1449" s="36" t="s">
        <v>14</v>
      </c>
      <c r="H1449" s="36" t="str">
        <f>IFERROR(VLOOKUP(Table2[[#This Row], [Ticket]],Okey!A:B,2,0),"")</f>
        <v/>
      </c>
      <c r="I1449" s="36"/>
      <c r="J1449" s="36" t="str">
        <f>VLOOKUP(Table2[[#This Row], [Author]],People!A:B,2,0)</f>
        <v>HC</v>
      </c>
      <c r="M1449" s="36" t="s">
        <v>1613</v>
      </c>
    </row>
    <row r="1450" spans="1:13" x14ac:dyDescent="0.25">
      <c r="A1450" s="49">
        <f t="shared" si="24"/>
        <v>1448</v>
      </c>
      <c r="B1450" s="36" t="s">
        <v>4</v>
      </c>
      <c r="C1450" s="36" t="s">
        <v>7588</v>
      </c>
      <c r="D1450" s="9" t="s">
        <v>6832</v>
      </c>
      <c r="E1450" s="9" t="s">
        <v>7252</v>
      </c>
      <c r="F1450" s="9" t="s">
        <v>6831</v>
      </c>
      <c r="G1450" s="36" t="s">
        <v>14</v>
      </c>
      <c r="H1450" s="36" t="str">
        <f>IFERROR(VLOOKUP(Table2[[#This Row], [Ticket]],Okey!A:B,2,0),"")</f>
        <v/>
      </c>
      <c r="I1450" s="36"/>
      <c r="J1450" s="36" t="str">
        <f>VLOOKUP(Table2[[#This Row], [Author]],People!A:B,2,0)</f>
        <v>HC</v>
      </c>
      <c r="M1450" s="36" t="s">
        <v>1613</v>
      </c>
    </row>
    <row r="1451" spans="1:13" x14ac:dyDescent="0.25">
      <c r="A1451" s="49">
        <f t="shared" si="24"/>
        <v>1449</v>
      </c>
      <c r="B1451" s="36" t="s">
        <v>4</v>
      </c>
      <c r="C1451" s="36" t="s">
        <v>7588</v>
      </c>
      <c r="D1451" s="9" t="s">
        <v>6833</v>
      </c>
      <c r="E1451" s="9" t="s">
        <v>7253</v>
      </c>
      <c r="F1451" s="9" t="s">
        <v>6831</v>
      </c>
      <c r="G1451" s="36" t="s">
        <v>14</v>
      </c>
      <c r="H1451" s="36" t="str">
        <f>IFERROR(VLOOKUP(Table2[[#This Row], [Ticket]],Okey!A:B,2,0),"")</f>
        <v/>
      </c>
      <c r="I1451" s="36"/>
      <c r="J1451" s="36" t="str">
        <f>VLOOKUP(Table2[[#This Row], [Author]],People!A:B,2,0)</f>
        <v>HC</v>
      </c>
      <c r="M1451" s="36" t="s">
        <v>1613</v>
      </c>
    </row>
    <row r="1452" spans="1:13" x14ac:dyDescent="0.25">
      <c r="A1452" s="49">
        <f t="shared" si="24"/>
        <v>1450</v>
      </c>
      <c r="B1452" s="36" t="s">
        <v>4</v>
      </c>
      <c r="C1452" s="36" t="s">
        <v>7588</v>
      </c>
      <c r="D1452" s="9" t="s">
        <v>6834</v>
      </c>
      <c r="E1452" s="9" t="s">
        <v>7254</v>
      </c>
      <c r="F1452" s="9" t="s">
        <v>6828</v>
      </c>
      <c r="G1452" s="36" t="s">
        <v>14</v>
      </c>
      <c r="H1452" s="36" t="str">
        <f>IFERROR(VLOOKUP(Table2[[#This Row], [Ticket]],Okey!A:B,2,0),"")</f>
        <v/>
      </c>
      <c r="I1452" s="36"/>
      <c r="J1452" s="36" t="str">
        <f>VLOOKUP(Table2[[#This Row], [Author]],People!A:B,2,0)</f>
        <v>HC</v>
      </c>
      <c r="M1452" s="36" t="s">
        <v>1613</v>
      </c>
    </row>
    <row r="1453" spans="1:13" x14ac:dyDescent="0.25">
      <c r="A1453" s="49">
        <f t="shared" si="24"/>
        <v>1451</v>
      </c>
      <c r="B1453" s="36" t="s">
        <v>4</v>
      </c>
      <c r="C1453" s="36" t="s">
        <v>7588</v>
      </c>
      <c r="D1453" s="9" t="s">
        <v>6835</v>
      </c>
      <c r="E1453" s="9" t="s">
        <v>7255</v>
      </c>
      <c r="F1453" s="9" t="s">
        <v>6834</v>
      </c>
      <c r="G1453" s="36" t="s">
        <v>14</v>
      </c>
      <c r="H1453" s="36" t="str">
        <f>IFERROR(VLOOKUP(Table2[[#This Row], [Ticket]],Okey!A:B,2,0),"")</f>
        <v/>
      </c>
      <c r="I1453" s="36"/>
      <c r="J1453" s="36" t="str">
        <f>VLOOKUP(Table2[[#This Row], [Author]],People!A:B,2,0)</f>
        <v>HC</v>
      </c>
      <c r="M1453" s="36" t="s">
        <v>1613</v>
      </c>
    </row>
    <row r="1454" spans="1:13" x14ac:dyDescent="0.25">
      <c r="A1454" s="49">
        <f t="shared" si="24"/>
        <v>1452</v>
      </c>
      <c r="B1454" s="36" t="s">
        <v>4</v>
      </c>
      <c r="C1454" s="36" t="s">
        <v>7588</v>
      </c>
      <c r="D1454" s="9" t="s">
        <v>6836</v>
      </c>
      <c r="E1454" s="9" t="s">
        <v>7256</v>
      </c>
      <c r="F1454" s="9" t="s">
        <v>6834</v>
      </c>
      <c r="G1454" s="36" t="s">
        <v>14</v>
      </c>
      <c r="H1454" s="36" t="str">
        <f>IFERROR(VLOOKUP(Table2[[#This Row], [Ticket]],Okey!A:B,2,0),"")</f>
        <v/>
      </c>
      <c r="I1454" s="36"/>
      <c r="J1454" s="36" t="str">
        <f>VLOOKUP(Table2[[#This Row], [Author]],People!A:B,2,0)</f>
        <v>HC</v>
      </c>
      <c r="M1454" s="36" t="s">
        <v>1613</v>
      </c>
    </row>
    <row r="1455" spans="1:13" x14ac:dyDescent="0.25">
      <c r="A1455" s="49">
        <f t="shared" si="24"/>
        <v>1453</v>
      </c>
      <c r="B1455" s="36" t="s">
        <v>4</v>
      </c>
      <c r="C1455" s="36" t="s">
        <v>7588</v>
      </c>
      <c r="D1455" s="9" t="s">
        <v>6837</v>
      </c>
      <c r="E1455" s="9" t="s">
        <v>7257</v>
      </c>
      <c r="F1455" s="9" t="s">
        <v>6834</v>
      </c>
      <c r="G1455" s="36" t="s">
        <v>14</v>
      </c>
      <c r="H1455" s="36" t="str">
        <f>IFERROR(VLOOKUP(Table2[[#This Row], [Ticket]],Okey!A:B,2,0),"")</f>
        <v/>
      </c>
      <c r="I1455" s="36"/>
      <c r="J1455" s="36" t="str">
        <f>VLOOKUP(Table2[[#This Row], [Author]],People!A:B,2,0)</f>
        <v>HC</v>
      </c>
      <c r="M1455" s="36" t="s">
        <v>1613</v>
      </c>
    </row>
    <row r="1456" spans="1:13" x14ac:dyDescent="0.25">
      <c r="A1456" s="49">
        <f t="shared" si="24"/>
        <v>1454</v>
      </c>
      <c r="B1456" s="36" t="s">
        <v>4</v>
      </c>
      <c r="C1456" s="36" t="s">
        <v>7588</v>
      </c>
      <c r="D1456" s="9" t="s">
        <v>6838</v>
      </c>
      <c r="E1456" s="9" t="s">
        <v>7258</v>
      </c>
      <c r="F1456" s="9" t="s">
        <v>6834</v>
      </c>
      <c r="G1456" s="36" t="s">
        <v>14</v>
      </c>
      <c r="H1456" s="36" t="str">
        <f>IFERROR(VLOOKUP(Table2[[#This Row], [Ticket]],Okey!A:B,2,0),"")</f>
        <v/>
      </c>
      <c r="I1456" s="36"/>
      <c r="J1456" s="36" t="str">
        <f>VLOOKUP(Table2[[#This Row], [Author]],People!A:B,2,0)</f>
        <v>HC</v>
      </c>
      <c r="M1456" s="36" t="s">
        <v>1613</v>
      </c>
    </row>
    <row r="1457" spans="1:13" x14ac:dyDescent="0.25">
      <c r="A1457" s="49">
        <f t="shared" si="24"/>
        <v>1455</v>
      </c>
      <c r="B1457" s="36" t="s">
        <v>4</v>
      </c>
      <c r="C1457" s="36" t="s">
        <v>7588</v>
      </c>
      <c r="D1457" s="9" t="s">
        <v>6839</v>
      </c>
      <c r="E1457" s="9" t="s">
        <v>7259</v>
      </c>
      <c r="F1457" s="9" t="s">
        <v>6834</v>
      </c>
      <c r="G1457" s="36" t="s">
        <v>14</v>
      </c>
      <c r="H1457" s="36" t="str">
        <f>IFERROR(VLOOKUP(Table2[[#This Row], [Ticket]],Okey!A:B,2,0),"")</f>
        <v/>
      </c>
      <c r="I1457" s="36"/>
      <c r="J1457" s="36" t="str">
        <f>VLOOKUP(Table2[[#This Row], [Author]],People!A:B,2,0)</f>
        <v>HC</v>
      </c>
      <c r="M1457" s="36" t="s">
        <v>1613</v>
      </c>
    </row>
    <row r="1458" spans="1:13" x14ac:dyDescent="0.25">
      <c r="A1458" s="49">
        <f t="shared" si="24"/>
        <v>1456</v>
      </c>
      <c r="B1458" s="36" t="s">
        <v>4</v>
      </c>
      <c r="C1458" s="36" t="s">
        <v>7588</v>
      </c>
      <c r="D1458" s="9" t="s">
        <v>6840</v>
      </c>
      <c r="E1458" s="9" t="s">
        <v>7260</v>
      </c>
      <c r="F1458" s="9" t="s">
        <v>6718</v>
      </c>
      <c r="G1458" s="36" t="s">
        <v>14</v>
      </c>
      <c r="H1458" s="36" t="str">
        <f>IFERROR(VLOOKUP(Table2[[#This Row], [Ticket]],Okey!A:B,2,0),"")</f>
        <v/>
      </c>
      <c r="I1458" s="36"/>
      <c r="J1458" s="36" t="str">
        <f>VLOOKUP(Table2[[#This Row], [Author]],People!A:B,2,0)</f>
        <v>HC</v>
      </c>
      <c r="M1458" s="36" t="s">
        <v>1613</v>
      </c>
    </row>
    <row r="1459" spans="1:13" x14ac:dyDescent="0.25">
      <c r="A1459" s="49">
        <f t="shared" si="24"/>
        <v>1457</v>
      </c>
      <c r="B1459" s="36" t="s">
        <v>4</v>
      </c>
      <c r="C1459" s="36" t="s">
        <v>7588</v>
      </c>
      <c r="D1459" s="9" t="s">
        <v>6841</v>
      </c>
      <c r="E1459" s="9" t="s">
        <v>7261</v>
      </c>
      <c r="F1459" s="9" t="s">
        <v>6840</v>
      </c>
      <c r="G1459" s="36" t="s">
        <v>14</v>
      </c>
      <c r="H1459" s="36" t="str">
        <f>IFERROR(VLOOKUP(Table2[[#This Row], [Ticket]],Okey!A:B,2,0),"")</f>
        <v/>
      </c>
      <c r="I1459" s="36"/>
      <c r="J1459" s="36" t="str">
        <f>VLOOKUP(Table2[[#This Row], [Author]],People!A:B,2,0)</f>
        <v>HC</v>
      </c>
      <c r="M1459" s="36" t="s">
        <v>1613</v>
      </c>
    </row>
    <row r="1460" spans="1:13" x14ac:dyDescent="0.25">
      <c r="A1460" s="49">
        <f t="shared" si="24"/>
        <v>1458</v>
      </c>
      <c r="B1460" s="36" t="s">
        <v>4</v>
      </c>
      <c r="C1460" s="36" t="s">
        <v>7588</v>
      </c>
      <c r="D1460" s="9" t="s">
        <v>6842</v>
      </c>
      <c r="E1460" s="9" t="s">
        <v>7262</v>
      </c>
      <c r="F1460" s="9" t="s">
        <v>6840</v>
      </c>
      <c r="G1460" s="36" t="s">
        <v>14</v>
      </c>
      <c r="H1460" s="36" t="str">
        <f>IFERROR(VLOOKUP(Table2[[#This Row], [Ticket]],Okey!A:B,2,0),"")</f>
        <v/>
      </c>
      <c r="I1460" s="36"/>
      <c r="J1460" s="36" t="str">
        <f>VLOOKUP(Table2[[#This Row], [Author]],People!A:B,2,0)</f>
        <v>HC</v>
      </c>
      <c r="M1460" s="36" t="s">
        <v>1613</v>
      </c>
    </row>
    <row r="1461" spans="1:13" x14ac:dyDescent="0.25">
      <c r="A1461" s="49">
        <f t="shared" si="24"/>
        <v>1459</v>
      </c>
      <c r="B1461" s="36" t="s">
        <v>4</v>
      </c>
      <c r="C1461" s="36" t="s">
        <v>7588</v>
      </c>
      <c r="D1461" s="9" t="s">
        <v>6843</v>
      </c>
      <c r="E1461" s="9" t="s">
        <v>7263</v>
      </c>
      <c r="F1461" s="9" t="s">
        <v>6842</v>
      </c>
      <c r="G1461" s="36" t="s">
        <v>14</v>
      </c>
      <c r="H1461" s="36" t="str">
        <f>IFERROR(VLOOKUP(Table2[[#This Row], [Ticket]],Okey!A:B,2,0),"")</f>
        <v/>
      </c>
      <c r="I1461" s="36"/>
      <c r="J1461" s="36" t="str">
        <f>VLOOKUP(Table2[[#This Row], [Author]],People!A:B,2,0)</f>
        <v>HC</v>
      </c>
      <c r="M1461" s="36" t="s">
        <v>1613</v>
      </c>
    </row>
    <row r="1462" spans="1:13" x14ac:dyDescent="0.25">
      <c r="A1462" s="49">
        <f t="shared" si="24"/>
        <v>1460</v>
      </c>
      <c r="B1462" s="36" t="s">
        <v>4</v>
      </c>
      <c r="C1462" s="36" t="s">
        <v>7588</v>
      </c>
      <c r="D1462" s="9" t="s">
        <v>6844</v>
      </c>
      <c r="E1462" s="9" t="s">
        <v>7264</v>
      </c>
      <c r="F1462" s="9" t="s">
        <v>6842</v>
      </c>
      <c r="G1462" s="36" t="s">
        <v>14</v>
      </c>
      <c r="H1462" s="36" t="str">
        <f>IFERROR(VLOOKUP(Table2[[#This Row], [Ticket]],Okey!A:B,2,0),"")</f>
        <v/>
      </c>
      <c r="I1462" s="36"/>
      <c r="J1462" s="36" t="str">
        <f>VLOOKUP(Table2[[#This Row], [Author]],People!A:B,2,0)</f>
        <v>HC</v>
      </c>
      <c r="M1462" s="36" t="s">
        <v>1613</v>
      </c>
    </row>
    <row r="1463" spans="1:13" x14ac:dyDescent="0.25">
      <c r="A1463" s="49">
        <f t="shared" si="24"/>
        <v>1461</v>
      </c>
      <c r="B1463" s="36" t="s">
        <v>4</v>
      </c>
      <c r="C1463" s="36" t="s">
        <v>7588</v>
      </c>
      <c r="D1463" s="9" t="s">
        <v>6845</v>
      </c>
      <c r="E1463" s="9" t="s">
        <v>7265</v>
      </c>
      <c r="F1463" s="9" t="s">
        <v>6840</v>
      </c>
      <c r="G1463" s="36" t="s">
        <v>14</v>
      </c>
      <c r="H1463" s="36" t="str">
        <f>IFERROR(VLOOKUP(Table2[[#This Row], [Ticket]],Okey!A:B,2,0),"")</f>
        <v/>
      </c>
      <c r="I1463" s="36"/>
      <c r="J1463" s="36" t="str">
        <f>VLOOKUP(Table2[[#This Row], [Author]],People!A:B,2,0)</f>
        <v>HC</v>
      </c>
      <c r="M1463" s="36" t="s">
        <v>1613</v>
      </c>
    </row>
    <row r="1464" spans="1:13" x14ac:dyDescent="0.25">
      <c r="A1464" s="49">
        <f t="shared" si="24"/>
        <v>1462</v>
      </c>
      <c r="B1464" s="36" t="s">
        <v>4</v>
      </c>
      <c r="C1464" s="36" t="s">
        <v>7588</v>
      </c>
      <c r="D1464" s="9" t="s">
        <v>6846</v>
      </c>
      <c r="E1464" s="9" t="s">
        <v>7266</v>
      </c>
      <c r="F1464" s="9" t="s">
        <v>6845</v>
      </c>
      <c r="G1464" s="36" t="s">
        <v>14</v>
      </c>
      <c r="H1464" s="36" t="str">
        <f>IFERROR(VLOOKUP(Table2[[#This Row], [Ticket]],Okey!A:B,2,0),"")</f>
        <v/>
      </c>
      <c r="I1464" s="36"/>
      <c r="J1464" s="36" t="str">
        <f>VLOOKUP(Table2[[#This Row], [Author]],People!A:B,2,0)</f>
        <v>HC</v>
      </c>
      <c r="M1464" s="36" t="s">
        <v>1613</v>
      </c>
    </row>
    <row r="1465" spans="1:13" x14ac:dyDescent="0.25">
      <c r="A1465" s="49">
        <f t="shared" si="24"/>
        <v>1463</v>
      </c>
      <c r="B1465" s="36" t="s">
        <v>4</v>
      </c>
      <c r="C1465" s="36" t="s">
        <v>7588</v>
      </c>
      <c r="D1465" s="9" t="s">
        <v>6847</v>
      </c>
      <c r="E1465" s="9" t="s">
        <v>7267</v>
      </c>
      <c r="F1465" s="9" t="s">
        <v>6845</v>
      </c>
      <c r="G1465" s="36" t="s">
        <v>14</v>
      </c>
      <c r="H1465" s="36" t="str">
        <f>IFERROR(VLOOKUP(Table2[[#This Row], [Ticket]],Okey!A:B,2,0),"")</f>
        <v/>
      </c>
      <c r="I1465" s="36"/>
      <c r="J1465" s="36" t="str">
        <f>VLOOKUP(Table2[[#This Row], [Author]],People!A:B,2,0)</f>
        <v>HC</v>
      </c>
      <c r="M1465" s="36" t="s">
        <v>1613</v>
      </c>
    </row>
    <row r="1466" spans="1:13" x14ac:dyDescent="0.25">
      <c r="A1466" s="49">
        <f t="shared" si="24"/>
        <v>1464</v>
      </c>
      <c r="B1466" s="36" t="s">
        <v>4</v>
      </c>
      <c r="C1466" s="36" t="s">
        <v>7588</v>
      </c>
      <c r="D1466" s="9" t="s">
        <v>6848</v>
      </c>
      <c r="E1466" s="9" t="s">
        <v>7268</v>
      </c>
      <c r="F1466" s="9" t="s">
        <v>6716</v>
      </c>
      <c r="G1466" s="36" t="s">
        <v>14</v>
      </c>
      <c r="H1466" s="36" t="str">
        <f>IFERROR(VLOOKUP(Table2[[#This Row], [Ticket]],Okey!A:B,2,0),"")</f>
        <v/>
      </c>
      <c r="I1466" s="36"/>
      <c r="J1466" s="36" t="str">
        <f>VLOOKUP(Table2[[#This Row], [Author]],People!A:B,2,0)</f>
        <v>HC</v>
      </c>
      <c r="M1466" s="36" t="s">
        <v>1613</v>
      </c>
    </row>
    <row r="1467" spans="1:13" x14ac:dyDescent="0.25">
      <c r="A1467" s="49">
        <f t="shared" si="24"/>
        <v>1465</v>
      </c>
      <c r="B1467" s="36" t="s">
        <v>4</v>
      </c>
      <c r="C1467" s="36" t="s">
        <v>7588</v>
      </c>
      <c r="D1467" s="9" t="s">
        <v>6849</v>
      </c>
      <c r="E1467" s="9" t="s">
        <v>7269</v>
      </c>
      <c r="F1467" s="9" t="s">
        <v>6848</v>
      </c>
      <c r="G1467" s="36" t="s">
        <v>14</v>
      </c>
      <c r="H1467" s="36" t="str">
        <f>IFERROR(VLOOKUP(Table2[[#This Row], [Ticket]],Okey!A:B,2,0),"")</f>
        <v/>
      </c>
      <c r="I1467" s="36"/>
      <c r="J1467" s="36" t="str">
        <f>VLOOKUP(Table2[[#This Row], [Author]],People!A:B,2,0)</f>
        <v>HC</v>
      </c>
      <c r="M1467" s="36" t="s">
        <v>1613</v>
      </c>
    </row>
    <row r="1468" spans="1:13" x14ac:dyDescent="0.25">
      <c r="A1468" s="49">
        <f t="shared" si="24"/>
        <v>1466</v>
      </c>
      <c r="B1468" s="36" t="s">
        <v>4</v>
      </c>
      <c r="C1468" s="36" t="s">
        <v>7588</v>
      </c>
      <c r="D1468" s="9" t="s">
        <v>6850</v>
      </c>
      <c r="E1468" s="9" t="s">
        <v>7270</v>
      </c>
      <c r="F1468" s="9" t="s">
        <v>6848</v>
      </c>
      <c r="G1468" s="36" t="s">
        <v>14</v>
      </c>
      <c r="H1468" s="36" t="str">
        <f>IFERROR(VLOOKUP(Table2[[#This Row], [Ticket]],Okey!A:B,2,0),"")</f>
        <v/>
      </c>
      <c r="I1468" s="36"/>
      <c r="J1468" s="36" t="str">
        <f>VLOOKUP(Table2[[#This Row], [Author]],People!A:B,2,0)</f>
        <v>HC</v>
      </c>
      <c r="M1468" s="36" t="s">
        <v>1613</v>
      </c>
    </row>
    <row r="1469" spans="1:13" x14ac:dyDescent="0.25">
      <c r="A1469" s="49">
        <f t="shared" si="24"/>
        <v>1467</v>
      </c>
      <c r="B1469" s="36" t="s">
        <v>4</v>
      </c>
      <c r="C1469" s="36" t="s">
        <v>7588</v>
      </c>
      <c r="D1469" s="9" t="s">
        <v>6851</v>
      </c>
      <c r="E1469" s="9" t="s">
        <v>7271</v>
      </c>
      <c r="F1469" s="9" t="s">
        <v>6848</v>
      </c>
      <c r="G1469" s="36" t="s">
        <v>14</v>
      </c>
      <c r="H1469" s="36" t="str">
        <f>IFERROR(VLOOKUP(Table2[[#This Row], [Ticket]],Okey!A:B,2,0),"")</f>
        <v/>
      </c>
      <c r="I1469" s="36"/>
      <c r="J1469" s="36" t="str">
        <f>VLOOKUP(Table2[[#This Row], [Author]],People!A:B,2,0)</f>
        <v>HC</v>
      </c>
      <c r="M1469" s="36" t="s">
        <v>1613</v>
      </c>
    </row>
    <row r="1470" spans="1:13" x14ac:dyDescent="0.25">
      <c r="A1470" s="49">
        <f t="shared" si="24"/>
        <v>1468</v>
      </c>
      <c r="B1470" s="36" t="s">
        <v>4</v>
      </c>
      <c r="C1470" s="36" t="s">
        <v>7588</v>
      </c>
      <c r="D1470" s="9" t="s">
        <v>6852</v>
      </c>
      <c r="E1470" s="9" t="s">
        <v>7272</v>
      </c>
      <c r="F1470" s="9" t="s">
        <v>6851</v>
      </c>
      <c r="G1470" s="36" t="s">
        <v>14</v>
      </c>
      <c r="H1470" s="36" t="str">
        <f>IFERROR(VLOOKUP(Table2[[#This Row], [Ticket]],Okey!A:B,2,0),"")</f>
        <v/>
      </c>
      <c r="I1470" s="36"/>
      <c r="J1470" s="36" t="str">
        <f>VLOOKUP(Table2[[#This Row], [Author]],People!A:B,2,0)</f>
        <v>HC</v>
      </c>
      <c r="M1470" s="36" t="s">
        <v>1613</v>
      </c>
    </row>
    <row r="1471" spans="1:13" x14ac:dyDescent="0.25">
      <c r="A1471" s="49">
        <f t="shared" si="24"/>
        <v>1469</v>
      </c>
      <c r="B1471" s="36" t="s">
        <v>4</v>
      </c>
      <c r="C1471" s="36" t="s">
        <v>7588</v>
      </c>
      <c r="D1471" s="9" t="s">
        <v>6853</v>
      </c>
      <c r="E1471" s="9" t="s">
        <v>7273</v>
      </c>
      <c r="F1471" s="9" t="s">
        <v>6851</v>
      </c>
      <c r="G1471" s="36" t="s">
        <v>14</v>
      </c>
      <c r="H1471" s="36" t="str">
        <f>IFERROR(VLOOKUP(Table2[[#This Row], [Ticket]],Okey!A:B,2,0),"")</f>
        <v/>
      </c>
      <c r="I1471" s="36"/>
      <c r="J1471" s="36" t="str">
        <f>VLOOKUP(Table2[[#This Row], [Author]],People!A:B,2,0)</f>
        <v>HC</v>
      </c>
      <c r="M1471" s="36" t="s">
        <v>1613</v>
      </c>
    </row>
    <row r="1472" spans="1:13" x14ac:dyDescent="0.25">
      <c r="A1472" s="49">
        <f t="shared" si="24"/>
        <v>1470</v>
      </c>
      <c r="B1472" s="36" t="s">
        <v>4</v>
      </c>
      <c r="C1472" s="36" t="s">
        <v>7588</v>
      </c>
      <c r="D1472" s="9" t="s">
        <v>6854</v>
      </c>
      <c r="E1472" s="9" t="s">
        <v>7274</v>
      </c>
      <c r="F1472" s="9" t="s">
        <v>6848</v>
      </c>
      <c r="G1472" s="36" t="s">
        <v>14</v>
      </c>
      <c r="H1472" s="36" t="str">
        <f>IFERROR(VLOOKUP(Table2[[#This Row], [Ticket]],Okey!A:B,2,0),"")</f>
        <v/>
      </c>
      <c r="I1472" s="36"/>
      <c r="J1472" s="36" t="str">
        <f>VLOOKUP(Table2[[#This Row], [Author]],People!A:B,2,0)</f>
        <v>HC</v>
      </c>
      <c r="M1472" s="36" t="s">
        <v>1613</v>
      </c>
    </row>
    <row r="1473" spans="1:13" x14ac:dyDescent="0.25">
      <c r="A1473" s="49">
        <f t="shared" si="24"/>
        <v>1471</v>
      </c>
      <c r="B1473" s="36" t="s">
        <v>4</v>
      </c>
      <c r="C1473" s="36" t="s">
        <v>7588</v>
      </c>
      <c r="D1473" s="9" t="s">
        <v>6855</v>
      </c>
      <c r="E1473" s="9" t="s">
        <v>7275</v>
      </c>
      <c r="F1473" s="9" t="s">
        <v>6854</v>
      </c>
      <c r="G1473" s="36" t="s">
        <v>14</v>
      </c>
      <c r="H1473" s="36" t="str">
        <f>IFERROR(VLOOKUP(Table2[[#This Row], [Ticket]],Okey!A:B,2,0),"")</f>
        <v/>
      </c>
      <c r="I1473" s="36"/>
      <c r="J1473" s="36" t="str">
        <f>VLOOKUP(Table2[[#This Row], [Author]],People!A:B,2,0)</f>
        <v>HC</v>
      </c>
      <c r="M1473" s="36" t="s">
        <v>1613</v>
      </c>
    </row>
    <row r="1474" spans="1:13" x14ac:dyDescent="0.25">
      <c r="A1474" s="49">
        <f t="shared" si="24"/>
        <v>1472</v>
      </c>
      <c r="B1474" s="36" t="s">
        <v>4</v>
      </c>
      <c r="C1474" s="36" t="s">
        <v>7588</v>
      </c>
      <c r="D1474" s="9" t="s">
        <v>6856</v>
      </c>
      <c r="E1474" s="9" t="s">
        <v>7276</v>
      </c>
      <c r="F1474" s="9" t="s">
        <v>6854</v>
      </c>
      <c r="G1474" s="36" t="s">
        <v>14</v>
      </c>
      <c r="H1474" s="36" t="str">
        <f>IFERROR(VLOOKUP(Table2[[#This Row], [Ticket]],Okey!A:B,2,0),"")</f>
        <v/>
      </c>
      <c r="I1474" s="36"/>
      <c r="J1474" s="36" t="str">
        <f>VLOOKUP(Table2[[#This Row], [Author]],People!A:B,2,0)</f>
        <v>HC</v>
      </c>
      <c r="M1474" s="36" t="s">
        <v>1613</v>
      </c>
    </row>
    <row r="1475" spans="1:13" x14ac:dyDescent="0.25">
      <c r="A1475" s="49">
        <f t="shared" si="24"/>
        <v>1473</v>
      </c>
      <c r="B1475" s="36" t="s">
        <v>4</v>
      </c>
      <c r="C1475" s="36" t="s">
        <v>7588</v>
      </c>
      <c r="D1475" s="9" t="s">
        <v>6857</v>
      </c>
      <c r="E1475" s="9" t="s">
        <v>7277</v>
      </c>
      <c r="F1475" s="9" t="s">
        <v>6854</v>
      </c>
      <c r="G1475" s="36" t="s">
        <v>14</v>
      </c>
      <c r="H1475" s="36" t="str">
        <f>IFERROR(VLOOKUP(Table2[[#This Row], [Ticket]],Okey!A:B,2,0),"")</f>
        <v/>
      </c>
      <c r="I1475" s="36"/>
      <c r="J1475" s="36" t="str">
        <f>VLOOKUP(Table2[[#This Row], [Author]],People!A:B,2,0)</f>
        <v>HC</v>
      </c>
      <c r="M1475" s="36" t="s">
        <v>1613</v>
      </c>
    </row>
    <row r="1476" spans="1:13" x14ac:dyDescent="0.25">
      <c r="A1476" s="49">
        <f t="shared" si="24"/>
        <v>1474</v>
      </c>
      <c r="B1476" s="36" t="s">
        <v>4</v>
      </c>
      <c r="C1476" s="36" t="s">
        <v>7588</v>
      </c>
      <c r="D1476" s="9" t="s">
        <v>6858</v>
      </c>
      <c r="E1476" s="9" t="s">
        <v>7278</v>
      </c>
      <c r="F1476" s="9" t="s">
        <v>6854</v>
      </c>
      <c r="G1476" s="36" t="s">
        <v>14</v>
      </c>
      <c r="H1476" s="36" t="str">
        <f>IFERROR(VLOOKUP(Table2[[#This Row], [Ticket]],Okey!A:B,2,0),"")</f>
        <v/>
      </c>
      <c r="I1476" s="36"/>
      <c r="J1476" s="36" t="str">
        <f>VLOOKUP(Table2[[#This Row], [Author]],People!A:B,2,0)</f>
        <v>HC</v>
      </c>
      <c r="M1476" s="36" t="s">
        <v>1613</v>
      </c>
    </row>
    <row r="1477" spans="1:13" x14ac:dyDescent="0.25">
      <c r="A1477" s="49">
        <f t="shared" si="24"/>
        <v>1475</v>
      </c>
      <c r="B1477" s="36" t="s">
        <v>4</v>
      </c>
      <c r="C1477" s="36" t="s">
        <v>7588</v>
      </c>
      <c r="D1477" s="9" t="s">
        <v>6859</v>
      </c>
      <c r="E1477" s="9" t="s">
        <v>7279</v>
      </c>
      <c r="F1477" s="9" t="s">
        <v>6854</v>
      </c>
      <c r="G1477" s="36" t="s">
        <v>14</v>
      </c>
      <c r="H1477" s="36" t="str">
        <f>IFERROR(VLOOKUP(Table2[[#This Row], [Ticket]],Okey!A:B,2,0),"")</f>
        <v/>
      </c>
      <c r="I1477" s="36"/>
      <c r="J1477" s="36" t="str">
        <f>VLOOKUP(Table2[[#This Row], [Author]],People!A:B,2,0)</f>
        <v>HC</v>
      </c>
      <c r="M1477" s="36" t="s">
        <v>1613</v>
      </c>
    </row>
    <row r="1478" spans="1:13" x14ac:dyDescent="0.25">
      <c r="A1478" s="49">
        <f t="shared" si="24"/>
        <v>1476</v>
      </c>
      <c r="B1478" s="36" t="s">
        <v>4</v>
      </c>
      <c r="C1478" s="36" t="s">
        <v>7588</v>
      </c>
      <c r="D1478" s="9" t="s">
        <v>6860</v>
      </c>
      <c r="E1478" s="9" t="s">
        <v>7280</v>
      </c>
      <c r="F1478" s="9" t="s">
        <v>6718</v>
      </c>
      <c r="G1478" s="36" t="s">
        <v>14</v>
      </c>
      <c r="H1478" s="36" t="str">
        <f>IFERROR(VLOOKUP(Table2[[#This Row], [Ticket]],Okey!A:B,2,0),"")</f>
        <v/>
      </c>
      <c r="I1478" s="36"/>
      <c r="J1478" s="36" t="str">
        <f>VLOOKUP(Table2[[#This Row], [Author]],People!A:B,2,0)</f>
        <v>HC</v>
      </c>
      <c r="M1478" s="36" t="s">
        <v>1613</v>
      </c>
    </row>
    <row r="1479" spans="1:13" x14ac:dyDescent="0.25">
      <c r="A1479" s="49">
        <f t="shared" si="24"/>
        <v>1477</v>
      </c>
      <c r="B1479" s="36" t="s">
        <v>4</v>
      </c>
      <c r="C1479" s="36" t="s">
        <v>7588</v>
      </c>
      <c r="D1479" s="9" t="s">
        <v>6861</v>
      </c>
      <c r="E1479" s="9" t="s">
        <v>7281</v>
      </c>
      <c r="F1479" s="9" t="s">
        <v>6860</v>
      </c>
      <c r="G1479" s="36" t="s">
        <v>14</v>
      </c>
      <c r="H1479" s="36" t="str">
        <f>IFERROR(VLOOKUP(Table2[[#This Row], [Ticket]],Okey!A:B,2,0),"")</f>
        <v/>
      </c>
      <c r="I1479" s="36"/>
      <c r="J1479" s="36" t="str">
        <f>VLOOKUP(Table2[[#This Row], [Author]],People!A:B,2,0)</f>
        <v>HC</v>
      </c>
      <c r="M1479" s="36" t="s">
        <v>1613</v>
      </c>
    </row>
    <row r="1480" spans="1:13" x14ac:dyDescent="0.25">
      <c r="A1480" s="49">
        <f t="shared" si="24"/>
        <v>1478</v>
      </c>
      <c r="B1480" s="36" t="s">
        <v>4</v>
      </c>
      <c r="C1480" s="36" t="s">
        <v>7588</v>
      </c>
      <c r="D1480" s="9" t="s">
        <v>6862</v>
      </c>
      <c r="E1480" s="9" t="s">
        <v>7282</v>
      </c>
      <c r="F1480" s="9" t="s">
        <v>6860</v>
      </c>
      <c r="G1480" s="36" t="s">
        <v>14</v>
      </c>
      <c r="H1480" s="36" t="str">
        <f>IFERROR(VLOOKUP(Table2[[#This Row], [Ticket]],Okey!A:B,2,0),"")</f>
        <v/>
      </c>
      <c r="I1480" s="36"/>
      <c r="J1480" s="36" t="str">
        <f>VLOOKUP(Table2[[#This Row], [Author]],People!A:B,2,0)</f>
        <v>HC</v>
      </c>
      <c r="M1480" s="36" t="s">
        <v>1613</v>
      </c>
    </row>
    <row r="1481" spans="1:13" x14ac:dyDescent="0.25">
      <c r="A1481" s="49">
        <f t="shared" si="24"/>
        <v>1479</v>
      </c>
      <c r="B1481" s="36" t="s">
        <v>4</v>
      </c>
      <c r="C1481" s="36" t="s">
        <v>7588</v>
      </c>
      <c r="D1481" s="9" t="s">
        <v>6863</v>
      </c>
      <c r="E1481" s="9" t="s">
        <v>7283</v>
      </c>
      <c r="F1481" s="9" t="s">
        <v>6862</v>
      </c>
      <c r="G1481" s="36" t="s">
        <v>14</v>
      </c>
      <c r="H1481" s="36" t="str">
        <f>IFERROR(VLOOKUP(Table2[[#This Row], [Ticket]],Okey!A:B,2,0),"")</f>
        <v/>
      </c>
      <c r="I1481" s="36"/>
      <c r="J1481" s="36" t="str">
        <f>VLOOKUP(Table2[[#This Row], [Author]],People!A:B,2,0)</f>
        <v>HC</v>
      </c>
      <c r="M1481" s="36" t="s">
        <v>1613</v>
      </c>
    </row>
    <row r="1482" spans="1:13" x14ac:dyDescent="0.25">
      <c r="A1482" s="49">
        <f t="shared" si="24"/>
        <v>1480</v>
      </c>
      <c r="B1482" s="36" t="s">
        <v>4</v>
      </c>
      <c r="C1482" s="36" t="s">
        <v>7588</v>
      </c>
      <c r="D1482" s="9" t="s">
        <v>6864</v>
      </c>
      <c r="E1482" s="9" t="s">
        <v>7284</v>
      </c>
      <c r="F1482" s="9" t="s">
        <v>6862</v>
      </c>
      <c r="G1482" s="36" t="s">
        <v>14</v>
      </c>
      <c r="H1482" s="36" t="str">
        <f>IFERROR(VLOOKUP(Table2[[#This Row], [Ticket]],Okey!A:B,2,0),"")</f>
        <v/>
      </c>
      <c r="I1482" s="36"/>
      <c r="J1482" s="36" t="str">
        <f>VLOOKUP(Table2[[#This Row], [Author]],People!A:B,2,0)</f>
        <v>HC</v>
      </c>
      <c r="M1482" s="36" t="s">
        <v>1613</v>
      </c>
    </row>
    <row r="1483" spans="1:13" x14ac:dyDescent="0.25">
      <c r="A1483" s="49">
        <f t="shared" si="24"/>
        <v>1481</v>
      </c>
      <c r="B1483" s="36" t="s">
        <v>4</v>
      </c>
      <c r="C1483" s="36" t="s">
        <v>7588</v>
      </c>
      <c r="D1483" s="9" t="s">
        <v>6865</v>
      </c>
      <c r="E1483" s="9" t="s">
        <v>7285</v>
      </c>
      <c r="F1483" s="9" t="s">
        <v>6860</v>
      </c>
      <c r="G1483" s="36" t="s">
        <v>14</v>
      </c>
      <c r="H1483" s="36" t="str">
        <f>IFERROR(VLOOKUP(Table2[[#This Row], [Ticket]],Okey!A:B,2,0),"")</f>
        <v/>
      </c>
      <c r="I1483" s="36"/>
      <c r="J1483" s="36" t="str">
        <f>VLOOKUP(Table2[[#This Row], [Author]],People!A:B,2,0)</f>
        <v>HC</v>
      </c>
      <c r="M1483" s="36" t="s">
        <v>1613</v>
      </c>
    </row>
    <row r="1484" spans="1:13" x14ac:dyDescent="0.25">
      <c r="A1484" s="49">
        <f t="shared" si="24"/>
        <v>1482</v>
      </c>
      <c r="B1484" s="36" t="s">
        <v>4</v>
      </c>
      <c r="C1484" s="36" t="s">
        <v>7588</v>
      </c>
      <c r="D1484" s="9" t="s">
        <v>6866</v>
      </c>
      <c r="E1484" s="9" t="s">
        <v>7286</v>
      </c>
      <c r="F1484" s="9" t="s">
        <v>6865</v>
      </c>
      <c r="G1484" s="36" t="s">
        <v>14</v>
      </c>
      <c r="H1484" s="36" t="str">
        <f>IFERROR(VLOOKUP(Table2[[#This Row], [Ticket]],Okey!A:B,2,0),"")</f>
        <v/>
      </c>
      <c r="I1484" s="36"/>
      <c r="J1484" s="36" t="str">
        <f>VLOOKUP(Table2[[#This Row], [Author]],People!A:B,2,0)</f>
        <v>HC</v>
      </c>
      <c r="M1484" s="36" t="s">
        <v>1613</v>
      </c>
    </row>
    <row r="1485" spans="1:13" x14ac:dyDescent="0.25">
      <c r="A1485" s="49">
        <f t="shared" si="24"/>
        <v>1483</v>
      </c>
      <c r="B1485" s="36" t="s">
        <v>4</v>
      </c>
      <c r="C1485" s="36" t="s">
        <v>7588</v>
      </c>
      <c r="D1485" s="9" t="s">
        <v>6867</v>
      </c>
      <c r="E1485" s="9" t="s">
        <v>7287</v>
      </c>
      <c r="F1485" s="9" t="s">
        <v>6865</v>
      </c>
      <c r="G1485" s="36" t="s">
        <v>14</v>
      </c>
      <c r="H1485" s="36" t="str">
        <f>IFERROR(VLOOKUP(Table2[[#This Row], [Ticket]],Okey!A:B,2,0),"")</f>
        <v/>
      </c>
      <c r="I1485" s="36"/>
      <c r="J1485" s="36" t="str">
        <f>VLOOKUP(Table2[[#This Row], [Author]],People!A:B,2,0)</f>
        <v>HC</v>
      </c>
      <c r="M1485" s="36" t="s">
        <v>1613</v>
      </c>
    </row>
    <row r="1486" spans="1:13" x14ac:dyDescent="0.25">
      <c r="A1486" s="49">
        <f t="shared" si="24"/>
        <v>1484</v>
      </c>
      <c r="B1486" s="36" t="s">
        <v>4</v>
      </c>
      <c r="C1486" s="36" t="s">
        <v>7588</v>
      </c>
      <c r="D1486" s="9" t="s">
        <v>6868</v>
      </c>
      <c r="E1486" s="9" t="s">
        <v>7288</v>
      </c>
      <c r="F1486" s="9" t="s">
        <v>6716</v>
      </c>
      <c r="G1486" s="36" t="s">
        <v>14</v>
      </c>
      <c r="H1486" s="36" t="str">
        <f>IFERROR(VLOOKUP(Table2[[#This Row], [Ticket]],Okey!A:B,2,0),"")</f>
        <v/>
      </c>
      <c r="I1486" s="36"/>
      <c r="J1486" s="36" t="str">
        <f>VLOOKUP(Table2[[#This Row], [Author]],People!A:B,2,0)</f>
        <v>HC</v>
      </c>
      <c r="M1486" s="36" t="s">
        <v>1613</v>
      </c>
    </row>
    <row r="1487" spans="1:13" x14ac:dyDescent="0.25">
      <c r="A1487" s="49">
        <f t="shared" si="24"/>
        <v>1485</v>
      </c>
      <c r="B1487" s="36" t="s">
        <v>4</v>
      </c>
      <c r="C1487" s="36" t="s">
        <v>7588</v>
      </c>
      <c r="D1487" s="9" t="s">
        <v>6869</v>
      </c>
      <c r="E1487" s="9" t="s">
        <v>7289</v>
      </c>
      <c r="F1487" s="9" t="s">
        <v>6868</v>
      </c>
      <c r="G1487" s="36" t="s">
        <v>14</v>
      </c>
      <c r="H1487" s="36" t="str">
        <f>IFERROR(VLOOKUP(Table2[[#This Row], [Ticket]],Okey!A:B,2,0),"")</f>
        <v/>
      </c>
      <c r="I1487" s="36"/>
      <c r="J1487" s="36" t="str">
        <f>VLOOKUP(Table2[[#This Row], [Author]],People!A:B,2,0)</f>
        <v>HC</v>
      </c>
      <c r="M1487" s="36" t="s">
        <v>1613</v>
      </c>
    </row>
    <row r="1488" spans="1:13" x14ac:dyDescent="0.25">
      <c r="A1488" s="49">
        <f t="shared" si="24"/>
        <v>1486</v>
      </c>
      <c r="B1488" s="36" t="s">
        <v>4</v>
      </c>
      <c r="C1488" s="36" t="s">
        <v>7588</v>
      </c>
      <c r="D1488" s="9" t="s">
        <v>6870</v>
      </c>
      <c r="E1488" s="9" t="s">
        <v>7290</v>
      </c>
      <c r="F1488" s="9" t="s">
        <v>6868</v>
      </c>
      <c r="G1488" s="36" t="s">
        <v>14</v>
      </c>
      <c r="H1488" s="36" t="str">
        <f>IFERROR(VLOOKUP(Table2[[#This Row], [Ticket]],Okey!A:B,2,0),"")</f>
        <v/>
      </c>
      <c r="I1488" s="36"/>
      <c r="J1488" s="36" t="str">
        <f>VLOOKUP(Table2[[#This Row], [Author]],People!A:B,2,0)</f>
        <v>HC</v>
      </c>
      <c r="M1488" s="36" t="s">
        <v>1613</v>
      </c>
    </row>
    <row r="1489" spans="1:13" x14ac:dyDescent="0.25">
      <c r="A1489" s="49">
        <f t="shared" si="24"/>
        <v>1487</v>
      </c>
      <c r="B1489" s="36" t="s">
        <v>4</v>
      </c>
      <c r="C1489" s="36" t="s">
        <v>7588</v>
      </c>
      <c r="D1489" s="9" t="s">
        <v>6871</v>
      </c>
      <c r="E1489" s="9" t="s">
        <v>7291</v>
      </c>
      <c r="F1489" s="9" t="s">
        <v>6868</v>
      </c>
      <c r="G1489" s="36" t="s">
        <v>14</v>
      </c>
      <c r="H1489" s="36" t="str">
        <f>IFERROR(VLOOKUP(Table2[[#This Row], [Ticket]],Okey!A:B,2,0),"")</f>
        <v/>
      </c>
      <c r="I1489" s="36"/>
      <c r="J1489" s="36" t="str">
        <f>VLOOKUP(Table2[[#This Row], [Author]],People!A:B,2,0)</f>
        <v>HC</v>
      </c>
      <c r="M1489" s="36" t="s">
        <v>1613</v>
      </c>
    </row>
    <row r="1490" spans="1:13" x14ac:dyDescent="0.25">
      <c r="A1490" s="49">
        <f t="shared" si="24"/>
        <v>1488</v>
      </c>
      <c r="B1490" s="36" t="s">
        <v>4</v>
      </c>
      <c r="C1490" s="36" t="s">
        <v>7588</v>
      </c>
      <c r="D1490" s="9" t="s">
        <v>6872</v>
      </c>
      <c r="E1490" s="9" t="s">
        <v>7292</v>
      </c>
      <c r="F1490" s="9" t="s">
        <v>6871</v>
      </c>
      <c r="G1490" s="36" t="s">
        <v>14</v>
      </c>
      <c r="H1490" s="36" t="str">
        <f>IFERROR(VLOOKUP(Table2[[#This Row], [Ticket]],Okey!A:B,2,0),"")</f>
        <v/>
      </c>
      <c r="I1490" s="36"/>
      <c r="J1490" s="36" t="str">
        <f>VLOOKUP(Table2[[#This Row], [Author]],People!A:B,2,0)</f>
        <v>HC</v>
      </c>
      <c r="M1490" s="36" t="s">
        <v>1613</v>
      </c>
    </row>
    <row r="1491" spans="1:13" x14ac:dyDescent="0.25">
      <c r="A1491" s="49">
        <f t="shared" si="24"/>
        <v>1489</v>
      </c>
      <c r="B1491" s="36" t="s">
        <v>4</v>
      </c>
      <c r="C1491" s="36" t="s">
        <v>7588</v>
      </c>
      <c r="D1491" s="9" t="s">
        <v>6873</v>
      </c>
      <c r="E1491" s="9" t="s">
        <v>7293</v>
      </c>
      <c r="F1491" s="9" t="s">
        <v>6871</v>
      </c>
      <c r="G1491" s="36" t="s">
        <v>14</v>
      </c>
      <c r="H1491" s="36" t="str">
        <f>IFERROR(VLOOKUP(Table2[[#This Row], [Ticket]],Okey!A:B,2,0),"")</f>
        <v/>
      </c>
      <c r="I1491" s="36"/>
      <c r="J1491" s="36" t="str">
        <f>VLOOKUP(Table2[[#This Row], [Author]],People!A:B,2,0)</f>
        <v>HC</v>
      </c>
      <c r="M1491" s="36" t="s">
        <v>1613</v>
      </c>
    </row>
    <row r="1492" spans="1:13" x14ac:dyDescent="0.25">
      <c r="A1492" s="49">
        <f t="shared" si="24"/>
        <v>1490</v>
      </c>
      <c r="B1492" s="36" t="s">
        <v>4</v>
      </c>
      <c r="C1492" s="36" t="s">
        <v>7588</v>
      </c>
      <c r="D1492" s="9" t="s">
        <v>6874</v>
      </c>
      <c r="E1492" s="9" t="s">
        <v>7294</v>
      </c>
      <c r="F1492" s="9" t="s">
        <v>6868</v>
      </c>
      <c r="G1492" s="36" t="s">
        <v>14</v>
      </c>
      <c r="H1492" s="36" t="str">
        <f>IFERROR(VLOOKUP(Table2[[#This Row], [Ticket]],Okey!A:B,2,0),"")</f>
        <v/>
      </c>
      <c r="I1492" s="36"/>
      <c r="J1492" s="36" t="str">
        <f>VLOOKUP(Table2[[#This Row], [Author]],People!A:B,2,0)</f>
        <v>HC</v>
      </c>
      <c r="M1492" s="36" t="s">
        <v>1613</v>
      </c>
    </row>
    <row r="1493" spans="1:13" x14ac:dyDescent="0.25">
      <c r="A1493" s="49">
        <f t="shared" ref="A1493:A1556" si="25">1+A1492</f>
        <v>1491</v>
      </c>
      <c r="B1493" s="36" t="s">
        <v>4</v>
      </c>
      <c r="C1493" s="36" t="s">
        <v>7588</v>
      </c>
      <c r="D1493" s="9" t="s">
        <v>6875</v>
      </c>
      <c r="E1493" s="9" t="s">
        <v>7295</v>
      </c>
      <c r="F1493" s="9" t="s">
        <v>6874</v>
      </c>
      <c r="G1493" s="36" t="s">
        <v>14</v>
      </c>
      <c r="H1493" s="36" t="str">
        <f>IFERROR(VLOOKUP(Table2[[#This Row], [Ticket]],Okey!A:B,2,0),"")</f>
        <v/>
      </c>
      <c r="I1493" s="36"/>
      <c r="J1493" s="36" t="str">
        <f>VLOOKUP(Table2[[#This Row], [Author]],People!A:B,2,0)</f>
        <v>HC</v>
      </c>
      <c r="M1493" s="36" t="s">
        <v>1613</v>
      </c>
    </row>
    <row r="1494" spans="1:13" x14ac:dyDescent="0.25">
      <c r="A1494" s="49">
        <f t="shared" si="25"/>
        <v>1492</v>
      </c>
      <c r="B1494" s="36" t="s">
        <v>4</v>
      </c>
      <c r="C1494" s="36" t="s">
        <v>7588</v>
      </c>
      <c r="D1494" s="9" t="s">
        <v>6876</v>
      </c>
      <c r="E1494" s="9" t="s">
        <v>7296</v>
      </c>
      <c r="F1494" s="9" t="s">
        <v>6874</v>
      </c>
      <c r="G1494" s="36" t="s">
        <v>14</v>
      </c>
      <c r="H1494" s="36" t="str">
        <f>IFERROR(VLOOKUP(Table2[[#This Row], [Ticket]],Okey!A:B,2,0),"")</f>
        <v/>
      </c>
      <c r="I1494" s="36"/>
      <c r="J1494" s="36" t="str">
        <f>VLOOKUP(Table2[[#This Row], [Author]],People!A:B,2,0)</f>
        <v>HC</v>
      </c>
      <c r="M1494" s="36" t="s">
        <v>1613</v>
      </c>
    </row>
    <row r="1495" spans="1:13" x14ac:dyDescent="0.25">
      <c r="A1495" s="49">
        <f t="shared" si="25"/>
        <v>1493</v>
      </c>
      <c r="B1495" s="36" t="s">
        <v>4</v>
      </c>
      <c r="C1495" s="36" t="s">
        <v>7588</v>
      </c>
      <c r="D1495" s="9" t="s">
        <v>6877</v>
      </c>
      <c r="E1495" s="9" t="s">
        <v>7297</v>
      </c>
      <c r="F1495" s="9" t="s">
        <v>6874</v>
      </c>
      <c r="G1495" s="36" t="s">
        <v>14</v>
      </c>
      <c r="H1495" s="36" t="str">
        <f>IFERROR(VLOOKUP(Table2[[#This Row], [Ticket]],Okey!A:B,2,0),"")</f>
        <v/>
      </c>
      <c r="I1495" s="36"/>
      <c r="J1495" s="36" t="str">
        <f>VLOOKUP(Table2[[#This Row], [Author]],People!A:B,2,0)</f>
        <v>HC</v>
      </c>
      <c r="M1495" s="36" t="s">
        <v>1613</v>
      </c>
    </row>
    <row r="1496" spans="1:13" x14ac:dyDescent="0.25">
      <c r="A1496" s="49">
        <f t="shared" si="25"/>
        <v>1494</v>
      </c>
      <c r="B1496" s="36" t="s">
        <v>4</v>
      </c>
      <c r="C1496" s="36" t="s">
        <v>7588</v>
      </c>
      <c r="D1496" s="9" t="s">
        <v>6878</v>
      </c>
      <c r="E1496" s="9" t="s">
        <v>7298</v>
      </c>
      <c r="F1496" s="9" t="s">
        <v>6874</v>
      </c>
      <c r="G1496" s="36" t="s">
        <v>14</v>
      </c>
      <c r="H1496" s="36" t="str">
        <f>IFERROR(VLOOKUP(Table2[[#This Row], [Ticket]],Okey!A:B,2,0),"")</f>
        <v/>
      </c>
      <c r="I1496" s="36"/>
      <c r="J1496" s="36" t="str">
        <f>VLOOKUP(Table2[[#This Row], [Author]],People!A:B,2,0)</f>
        <v>HC</v>
      </c>
      <c r="M1496" s="36" t="s">
        <v>1613</v>
      </c>
    </row>
    <row r="1497" spans="1:13" x14ac:dyDescent="0.25">
      <c r="A1497" s="49">
        <f t="shared" si="25"/>
        <v>1495</v>
      </c>
      <c r="B1497" s="36" t="s">
        <v>4</v>
      </c>
      <c r="C1497" s="36" t="s">
        <v>7588</v>
      </c>
      <c r="D1497" s="9" t="s">
        <v>6879</v>
      </c>
      <c r="E1497" s="9" t="s">
        <v>7299</v>
      </c>
      <c r="F1497" s="9" t="s">
        <v>6874</v>
      </c>
      <c r="G1497" s="36" t="s">
        <v>14</v>
      </c>
      <c r="H1497" s="36" t="str">
        <f>IFERROR(VLOOKUP(Table2[[#This Row], [Ticket]],Okey!A:B,2,0),"")</f>
        <v/>
      </c>
      <c r="I1497" s="36"/>
      <c r="J1497" s="36" t="str">
        <f>VLOOKUP(Table2[[#This Row], [Author]],People!A:B,2,0)</f>
        <v>HC</v>
      </c>
      <c r="M1497" s="36" t="s">
        <v>1613</v>
      </c>
    </row>
    <row r="1498" spans="1:13" x14ac:dyDescent="0.25">
      <c r="A1498" s="49">
        <f t="shared" si="25"/>
        <v>1496</v>
      </c>
      <c r="B1498" s="36" t="s">
        <v>4</v>
      </c>
      <c r="C1498" s="36" t="s">
        <v>7588</v>
      </c>
      <c r="D1498" s="9" t="s">
        <v>6880</v>
      </c>
      <c r="E1498" s="9" t="s">
        <v>7300</v>
      </c>
      <c r="F1498" s="9" t="s">
        <v>6718</v>
      </c>
      <c r="G1498" s="36" t="s">
        <v>14</v>
      </c>
      <c r="H1498" s="36" t="str">
        <f>IFERROR(VLOOKUP(Table2[[#This Row], [Ticket]],Okey!A:B,2,0),"")</f>
        <v/>
      </c>
      <c r="I1498" s="36"/>
      <c r="J1498" s="36" t="str">
        <f>VLOOKUP(Table2[[#This Row], [Author]],People!A:B,2,0)</f>
        <v>HC</v>
      </c>
      <c r="M1498" s="36" t="s">
        <v>1613</v>
      </c>
    </row>
    <row r="1499" spans="1:13" x14ac:dyDescent="0.25">
      <c r="A1499" s="49">
        <f t="shared" si="25"/>
        <v>1497</v>
      </c>
      <c r="B1499" s="36" t="s">
        <v>4</v>
      </c>
      <c r="C1499" s="36" t="s">
        <v>7588</v>
      </c>
      <c r="D1499" s="9" t="s">
        <v>6881</v>
      </c>
      <c r="E1499" s="9" t="s">
        <v>7301</v>
      </c>
      <c r="F1499" s="9" t="s">
        <v>6880</v>
      </c>
      <c r="G1499" s="36" t="s">
        <v>14</v>
      </c>
      <c r="H1499" s="36" t="str">
        <f>IFERROR(VLOOKUP(Table2[[#This Row], [Ticket]],Okey!A:B,2,0),"")</f>
        <v/>
      </c>
      <c r="I1499" s="36"/>
      <c r="J1499" s="36" t="str">
        <f>VLOOKUP(Table2[[#This Row], [Author]],People!A:B,2,0)</f>
        <v>HC</v>
      </c>
      <c r="M1499" s="36" t="s">
        <v>1613</v>
      </c>
    </row>
    <row r="1500" spans="1:13" x14ac:dyDescent="0.25">
      <c r="A1500" s="49">
        <f t="shared" si="25"/>
        <v>1498</v>
      </c>
      <c r="B1500" s="36" t="s">
        <v>4</v>
      </c>
      <c r="C1500" s="36" t="s">
        <v>7588</v>
      </c>
      <c r="D1500" s="9" t="s">
        <v>6882</v>
      </c>
      <c r="E1500" s="9" t="s">
        <v>7302</v>
      </c>
      <c r="F1500" s="9" t="s">
        <v>6880</v>
      </c>
      <c r="G1500" s="36" t="s">
        <v>14</v>
      </c>
      <c r="H1500" s="36" t="str">
        <f>IFERROR(VLOOKUP(Table2[[#This Row], [Ticket]],Okey!A:B,2,0),"")</f>
        <v/>
      </c>
      <c r="I1500" s="36"/>
      <c r="J1500" s="36" t="str">
        <f>VLOOKUP(Table2[[#This Row], [Author]],People!A:B,2,0)</f>
        <v>HC</v>
      </c>
      <c r="M1500" s="36" t="s">
        <v>1613</v>
      </c>
    </row>
    <row r="1501" spans="1:13" x14ac:dyDescent="0.25">
      <c r="A1501" s="49">
        <f t="shared" si="25"/>
        <v>1499</v>
      </c>
      <c r="B1501" s="36" t="s">
        <v>4</v>
      </c>
      <c r="C1501" s="36" t="s">
        <v>7588</v>
      </c>
      <c r="D1501" s="9" t="s">
        <v>6883</v>
      </c>
      <c r="E1501" s="9" t="s">
        <v>7303</v>
      </c>
      <c r="F1501" s="9" t="s">
        <v>6882</v>
      </c>
      <c r="G1501" s="36" t="s">
        <v>14</v>
      </c>
      <c r="H1501" s="36" t="str">
        <f>IFERROR(VLOOKUP(Table2[[#This Row], [Ticket]],Okey!A:B,2,0),"")</f>
        <v/>
      </c>
      <c r="I1501" s="36"/>
      <c r="J1501" s="36" t="str">
        <f>VLOOKUP(Table2[[#This Row], [Author]],People!A:B,2,0)</f>
        <v>HC</v>
      </c>
      <c r="M1501" s="36" t="s">
        <v>1613</v>
      </c>
    </row>
    <row r="1502" spans="1:13" x14ac:dyDescent="0.25">
      <c r="A1502" s="49">
        <f t="shared" si="25"/>
        <v>1500</v>
      </c>
      <c r="B1502" s="36" t="s">
        <v>4</v>
      </c>
      <c r="C1502" s="36" t="s">
        <v>7588</v>
      </c>
      <c r="D1502" s="9" t="s">
        <v>6884</v>
      </c>
      <c r="E1502" s="9" t="s">
        <v>7304</v>
      </c>
      <c r="F1502" s="9" t="s">
        <v>6882</v>
      </c>
      <c r="G1502" s="36" t="s">
        <v>14</v>
      </c>
      <c r="H1502" s="36" t="str">
        <f>IFERROR(VLOOKUP(Table2[[#This Row], [Ticket]],Okey!A:B,2,0),"")</f>
        <v/>
      </c>
      <c r="I1502" s="36"/>
      <c r="J1502" s="36" t="str">
        <f>VLOOKUP(Table2[[#This Row], [Author]],People!A:B,2,0)</f>
        <v>HC</v>
      </c>
      <c r="M1502" s="36" t="s">
        <v>1613</v>
      </c>
    </row>
    <row r="1503" spans="1:13" x14ac:dyDescent="0.25">
      <c r="A1503" s="49">
        <f t="shared" si="25"/>
        <v>1501</v>
      </c>
      <c r="B1503" s="36" t="s">
        <v>4</v>
      </c>
      <c r="C1503" s="36" t="s">
        <v>7588</v>
      </c>
      <c r="D1503" s="9" t="s">
        <v>6885</v>
      </c>
      <c r="E1503" s="9" t="s">
        <v>7305</v>
      </c>
      <c r="F1503" s="9" t="s">
        <v>6880</v>
      </c>
      <c r="G1503" s="36" t="s">
        <v>14</v>
      </c>
      <c r="H1503" s="36" t="str">
        <f>IFERROR(VLOOKUP(Table2[[#This Row], [Ticket]],Okey!A:B,2,0),"")</f>
        <v/>
      </c>
      <c r="I1503" s="36"/>
      <c r="J1503" s="36" t="str">
        <f>VLOOKUP(Table2[[#This Row], [Author]],People!A:B,2,0)</f>
        <v>HC</v>
      </c>
      <c r="M1503" s="36" t="s">
        <v>1613</v>
      </c>
    </row>
    <row r="1504" spans="1:13" x14ac:dyDescent="0.25">
      <c r="A1504" s="49">
        <f t="shared" si="25"/>
        <v>1502</v>
      </c>
      <c r="B1504" s="36" t="s">
        <v>4</v>
      </c>
      <c r="C1504" s="36" t="s">
        <v>7588</v>
      </c>
      <c r="D1504" s="9" t="s">
        <v>6886</v>
      </c>
      <c r="E1504" s="9" t="s">
        <v>7306</v>
      </c>
      <c r="F1504" s="9" t="s">
        <v>6885</v>
      </c>
      <c r="G1504" s="36" t="s">
        <v>14</v>
      </c>
      <c r="H1504" s="36" t="str">
        <f>IFERROR(VLOOKUP(Table2[[#This Row], [Ticket]],Okey!A:B,2,0),"")</f>
        <v/>
      </c>
      <c r="I1504" s="36"/>
      <c r="J1504" s="36" t="str">
        <f>VLOOKUP(Table2[[#This Row], [Author]],People!A:B,2,0)</f>
        <v>HC</v>
      </c>
      <c r="M1504" s="36" t="s">
        <v>1613</v>
      </c>
    </row>
    <row r="1505" spans="1:13" x14ac:dyDescent="0.25">
      <c r="A1505" s="49">
        <f t="shared" si="25"/>
        <v>1503</v>
      </c>
      <c r="B1505" s="36" t="s">
        <v>4</v>
      </c>
      <c r="C1505" s="36" t="s">
        <v>7588</v>
      </c>
      <c r="D1505" s="9" t="s">
        <v>6887</v>
      </c>
      <c r="E1505" s="9" t="s">
        <v>7307</v>
      </c>
      <c r="F1505" s="9" t="s">
        <v>6885</v>
      </c>
      <c r="G1505" s="36" t="s">
        <v>14</v>
      </c>
      <c r="H1505" s="36" t="str">
        <f>IFERROR(VLOOKUP(Table2[[#This Row], [Ticket]],Okey!A:B,2,0),"")</f>
        <v/>
      </c>
      <c r="I1505" s="36"/>
      <c r="J1505" s="36" t="str">
        <f>VLOOKUP(Table2[[#This Row], [Author]],People!A:B,2,0)</f>
        <v>HC</v>
      </c>
      <c r="M1505" s="36" t="s">
        <v>1613</v>
      </c>
    </row>
    <row r="1506" spans="1:13" x14ac:dyDescent="0.25">
      <c r="A1506" s="49">
        <f t="shared" si="25"/>
        <v>1504</v>
      </c>
      <c r="B1506" s="36" t="s">
        <v>4</v>
      </c>
      <c r="C1506" s="36" t="s">
        <v>7588</v>
      </c>
      <c r="D1506" s="9" t="s">
        <v>6888</v>
      </c>
      <c r="E1506" s="9" t="s">
        <v>7308</v>
      </c>
      <c r="F1506" s="9" t="s">
        <v>6716</v>
      </c>
      <c r="G1506" s="36" t="s">
        <v>14</v>
      </c>
      <c r="H1506" s="36" t="str">
        <f>IFERROR(VLOOKUP(Table2[[#This Row], [Ticket]],Okey!A:B,2,0),"")</f>
        <v/>
      </c>
      <c r="I1506" s="36"/>
      <c r="J1506" s="36" t="str">
        <f>VLOOKUP(Table2[[#This Row], [Author]],People!A:B,2,0)</f>
        <v>HC</v>
      </c>
      <c r="M1506" s="36" t="s">
        <v>1613</v>
      </c>
    </row>
    <row r="1507" spans="1:13" x14ac:dyDescent="0.25">
      <c r="A1507" s="49">
        <f t="shared" si="25"/>
        <v>1505</v>
      </c>
      <c r="B1507" s="36" t="s">
        <v>4</v>
      </c>
      <c r="C1507" s="36" t="s">
        <v>7588</v>
      </c>
      <c r="D1507" s="9" t="s">
        <v>6889</v>
      </c>
      <c r="E1507" s="9" t="s">
        <v>7309</v>
      </c>
      <c r="F1507" s="9" t="s">
        <v>6888</v>
      </c>
      <c r="G1507" s="36" t="s">
        <v>14</v>
      </c>
      <c r="H1507" s="36" t="str">
        <f>IFERROR(VLOOKUP(Table2[[#This Row], [Ticket]],Okey!A:B,2,0),"")</f>
        <v/>
      </c>
      <c r="I1507" s="36"/>
      <c r="J1507" s="36" t="str">
        <f>VLOOKUP(Table2[[#This Row], [Author]],People!A:B,2,0)</f>
        <v>HC</v>
      </c>
      <c r="M1507" s="36" t="s">
        <v>1613</v>
      </c>
    </row>
    <row r="1508" spans="1:13" x14ac:dyDescent="0.25">
      <c r="A1508" s="49">
        <f t="shared" si="25"/>
        <v>1506</v>
      </c>
      <c r="B1508" s="36" t="s">
        <v>4</v>
      </c>
      <c r="C1508" s="36" t="s">
        <v>7588</v>
      </c>
      <c r="D1508" s="9" t="s">
        <v>6890</v>
      </c>
      <c r="E1508" s="9" t="s">
        <v>7310</v>
      </c>
      <c r="F1508" s="9" t="s">
        <v>6888</v>
      </c>
      <c r="G1508" s="36" t="s">
        <v>14</v>
      </c>
      <c r="H1508" s="36" t="str">
        <f>IFERROR(VLOOKUP(Table2[[#This Row], [Ticket]],Okey!A:B,2,0),"")</f>
        <v/>
      </c>
      <c r="I1508" s="36"/>
      <c r="J1508" s="36" t="str">
        <f>VLOOKUP(Table2[[#This Row], [Author]],People!A:B,2,0)</f>
        <v>HC</v>
      </c>
      <c r="M1508" s="36" t="s">
        <v>1613</v>
      </c>
    </row>
    <row r="1509" spans="1:13" x14ac:dyDescent="0.25">
      <c r="A1509" s="49">
        <f t="shared" si="25"/>
        <v>1507</v>
      </c>
      <c r="B1509" s="36" t="s">
        <v>4</v>
      </c>
      <c r="C1509" s="36" t="s">
        <v>7588</v>
      </c>
      <c r="D1509" s="9" t="s">
        <v>6891</v>
      </c>
      <c r="E1509" s="9" t="s">
        <v>7311</v>
      </c>
      <c r="F1509" s="9" t="s">
        <v>6888</v>
      </c>
      <c r="G1509" s="36" t="s">
        <v>14</v>
      </c>
      <c r="H1509" s="36" t="str">
        <f>IFERROR(VLOOKUP(Table2[[#This Row], [Ticket]],Okey!A:B,2,0),"")</f>
        <v/>
      </c>
      <c r="I1509" s="36"/>
      <c r="J1509" s="36" t="str">
        <f>VLOOKUP(Table2[[#This Row], [Author]],People!A:B,2,0)</f>
        <v>HC</v>
      </c>
      <c r="M1509" s="36" t="s">
        <v>1613</v>
      </c>
    </row>
    <row r="1510" spans="1:13" x14ac:dyDescent="0.25">
      <c r="A1510" s="49">
        <f t="shared" si="25"/>
        <v>1508</v>
      </c>
      <c r="B1510" s="36" t="s">
        <v>4</v>
      </c>
      <c r="C1510" s="36" t="s">
        <v>7588</v>
      </c>
      <c r="D1510" s="9" t="s">
        <v>6892</v>
      </c>
      <c r="E1510" s="9" t="s">
        <v>7312</v>
      </c>
      <c r="F1510" s="9" t="s">
        <v>6891</v>
      </c>
      <c r="G1510" s="36" t="s">
        <v>14</v>
      </c>
      <c r="H1510" s="36" t="str">
        <f>IFERROR(VLOOKUP(Table2[[#This Row], [Ticket]],Okey!A:B,2,0),"")</f>
        <v/>
      </c>
      <c r="I1510" s="36"/>
      <c r="J1510" s="36" t="str">
        <f>VLOOKUP(Table2[[#This Row], [Author]],People!A:B,2,0)</f>
        <v>HC</v>
      </c>
      <c r="M1510" s="36" t="s">
        <v>1613</v>
      </c>
    </row>
    <row r="1511" spans="1:13" x14ac:dyDescent="0.25">
      <c r="A1511" s="49">
        <f t="shared" si="25"/>
        <v>1509</v>
      </c>
      <c r="B1511" s="36" t="s">
        <v>4</v>
      </c>
      <c r="C1511" s="36" t="s">
        <v>7588</v>
      </c>
      <c r="D1511" s="9" t="s">
        <v>6893</v>
      </c>
      <c r="E1511" s="9" t="s">
        <v>7313</v>
      </c>
      <c r="F1511" s="9" t="s">
        <v>6891</v>
      </c>
      <c r="G1511" s="36" t="s">
        <v>14</v>
      </c>
      <c r="H1511" s="36" t="str">
        <f>IFERROR(VLOOKUP(Table2[[#This Row], [Ticket]],Okey!A:B,2,0),"")</f>
        <v/>
      </c>
      <c r="I1511" s="36"/>
      <c r="J1511" s="36" t="str">
        <f>VLOOKUP(Table2[[#This Row], [Author]],People!A:B,2,0)</f>
        <v>HC</v>
      </c>
      <c r="M1511" s="36" t="s">
        <v>1613</v>
      </c>
    </row>
    <row r="1512" spans="1:13" x14ac:dyDescent="0.25">
      <c r="A1512" s="49">
        <f t="shared" si="25"/>
        <v>1510</v>
      </c>
      <c r="B1512" s="36" t="s">
        <v>4</v>
      </c>
      <c r="C1512" s="36" t="s">
        <v>7588</v>
      </c>
      <c r="D1512" s="9" t="s">
        <v>6894</v>
      </c>
      <c r="E1512" s="9" t="s">
        <v>7314</v>
      </c>
      <c r="F1512" s="9" t="s">
        <v>6888</v>
      </c>
      <c r="G1512" s="36" t="s">
        <v>14</v>
      </c>
      <c r="H1512" s="36" t="str">
        <f>IFERROR(VLOOKUP(Table2[[#This Row], [Ticket]],Okey!A:B,2,0),"")</f>
        <v/>
      </c>
      <c r="I1512" s="36"/>
      <c r="J1512" s="36" t="str">
        <f>VLOOKUP(Table2[[#This Row], [Author]],People!A:B,2,0)</f>
        <v>HC</v>
      </c>
      <c r="M1512" s="36" t="s">
        <v>1613</v>
      </c>
    </row>
    <row r="1513" spans="1:13" x14ac:dyDescent="0.25">
      <c r="A1513" s="49">
        <f t="shared" si="25"/>
        <v>1511</v>
      </c>
      <c r="B1513" s="36" t="s">
        <v>4</v>
      </c>
      <c r="C1513" s="36" t="s">
        <v>7588</v>
      </c>
      <c r="D1513" s="9" t="s">
        <v>6895</v>
      </c>
      <c r="E1513" s="9" t="s">
        <v>7315</v>
      </c>
      <c r="F1513" s="9" t="s">
        <v>6894</v>
      </c>
      <c r="G1513" s="36" t="s">
        <v>14</v>
      </c>
      <c r="H1513" s="36" t="str">
        <f>IFERROR(VLOOKUP(Table2[[#This Row], [Ticket]],Okey!A:B,2,0),"")</f>
        <v/>
      </c>
      <c r="I1513" s="36"/>
      <c r="J1513" s="36" t="str">
        <f>VLOOKUP(Table2[[#This Row], [Author]],People!A:B,2,0)</f>
        <v>HC</v>
      </c>
      <c r="M1513" s="36" t="s">
        <v>1613</v>
      </c>
    </row>
    <row r="1514" spans="1:13" x14ac:dyDescent="0.25">
      <c r="A1514" s="49">
        <f t="shared" si="25"/>
        <v>1512</v>
      </c>
      <c r="B1514" s="36" t="s">
        <v>4</v>
      </c>
      <c r="C1514" s="36" t="s">
        <v>7588</v>
      </c>
      <c r="D1514" s="9" t="s">
        <v>6896</v>
      </c>
      <c r="E1514" s="9" t="s">
        <v>7316</v>
      </c>
      <c r="F1514" s="9" t="s">
        <v>6894</v>
      </c>
      <c r="G1514" s="36" t="s">
        <v>14</v>
      </c>
      <c r="H1514" s="36" t="str">
        <f>IFERROR(VLOOKUP(Table2[[#This Row], [Ticket]],Okey!A:B,2,0),"")</f>
        <v/>
      </c>
      <c r="I1514" s="36"/>
      <c r="J1514" s="36" t="str">
        <f>VLOOKUP(Table2[[#This Row], [Author]],People!A:B,2,0)</f>
        <v>HC</v>
      </c>
      <c r="M1514" s="36" t="s">
        <v>1613</v>
      </c>
    </row>
    <row r="1515" spans="1:13" x14ac:dyDescent="0.25">
      <c r="A1515" s="49">
        <f t="shared" si="25"/>
        <v>1513</v>
      </c>
      <c r="B1515" s="36" t="s">
        <v>4</v>
      </c>
      <c r="C1515" s="36" t="s">
        <v>7588</v>
      </c>
      <c r="D1515" s="9" t="s">
        <v>6897</v>
      </c>
      <c r="E1515" s="9" t="s">
        <v>7317</v>
      </c>
      <c r="F1515" s="9" t="s">
        <v>6894</v>
      </c>
      <c r="G1515" s="36" t="s">
        <v>14</v>
      </c>
      <c r="H1515" s="36" t="str">
        <f>IFERROR(VLOOKUP(Table2[[#This Row], [Ticket]],Okey!A:B,2,0),"")</f>
        <v/>
      </c>
      <c r="I1515" s="36"/>
      <c r="J1515" s="36" t="str">
        <f>VLOOKUP(Table2[[#This Row], [Author]],People!A:B,2,0)</f>
        <v>HC</v>
      </c>
      <c r="M1515" s="36" t="s">
        <v>1613</v>
      </c>
    </row>
    <row r="1516" spans="1:13" x14ac:dyDescent="0.25">
      <c r="A1516" s="49">
        <f t="shared" si="25"/>
        <v>1514</v>
      </c>
      <c r="B1516" s="36" t="s">
        <v>4</v>
      </c>
      <c r="C1516" s="36" t="s">
        <v>7588</v>
      </c>
      <c r="D1516" s="9" t="s">
        <v>6898</v>
      </c>
      <c r="E1516" s="9" t="s">
        <v>7318</v>
      </c>
      <c r="F1516" s="9" t="s">
        <v>6894</v>
      </c>
      <c r="G1516" s="36" t="s">
        <v>14</v>
      </c>
      <c r="H1516" s="36" t="str">
        <f>IFERROR(VLOOKUP(Table2[[#This Row], [Ticket]],Okey!A:B,2,0),"")</f>
        <v/>
      </c>
      <c r="I1516" s="36"/>
      <c r="J1516" s="36" t="str">
        <f>VLOOKUP(Table2[[#This Row], [Author]],People!A:B,2,0)</f>
        <v>HC</v>
      </c>
      <c r="M1516" s="36" t="s">
        <v>1613</v>
      </c>
    </row>
    <row r="1517" spans="1:13" x14ac:dyDescent="0.25">
      <c r="A1517" s="49">
        <f t="shared" si="25"/>
        <v>1515</v>
      </c>
      <c r="B1517" s="36" t="s">
        <v>4</v>
      </c>
      <c r="C1517" s="36" t="s">
        <v>7588</v>
      </c>
      <c r="D1517" s="9" t="s">
        <v>6899</v>
      </c>
      <c r="E1517" s="9" t="s">
        <v>7319</v>
      </c>
      <c r="F1517" s="9" t="s">
        <v>6894</v>
      </c>
      <c r="G1517" s="36" t="s">
        <v>14</v>
      </c>
      <c r="H1517" s="36" t="str">
        <f>IFERROR(VLOOKUP(Table2[[#This Row], [Ticket]],Okey!A:B,2,0),"")</f>
        <v/>
      </c>
      <c r="I1517" s="36"/>
      <c r="J1517" s="36" t="str">
        <f>VLOOKUP(Table2[[#This Row], [Author]],People!A:B,2,0)</f>
        <v>HC</v>
      </c>
      <c r="M1517" s="36" t="s">
        <v>1613</v>
      </c>
    </row>
    <row r="1518" spans="1:13" x14ac:dyDescent="0.25">
      <c r="A1518" s="49">
        <f t="shared" si="25"/>
        <v>1516</v>
      </c>
      <c r="B1518" s="36" t="s">
        <v>4</v>
      </c>
      <c r="C1518" s="36" t="s">
        <v>7588</v>
      </c>
      <c r="D1518" s="9" t="s">
        <v>6900</v>
      </c>
      <c r="E1518" s="9" t="s">
        <v>7320</v>
      </c>
      <c r="F1518" s="9" t="s">
        <v>6718</v>
      </c>
      <c r="G1518" s="36" t="s">
        <v>14</v>
      </c>
      <c r="H1518" s="36" t="str">
        <f>IFERROR(VLOOKUP(Table2[[#This Row], [Ticket]],Okey!A:B,2,0),"")</f>
        <v/>
      </c>
      <c r="I1518" s="36"/>
      <c r="J1518" s="36" t="str">
        <f>VLOOKUP(Table2[[#This Row], [Author]],People!A:B,2,0)</f>
        <v>HC</v>
      </c>
      <c r="M1518" s="36" t="s">
        <v>1613</v>
      </c>
    </row>
    <row r="1519" spans="1:13" x14ac:dyDescent="0.25">
      <c r="A1519" s="49">
        <f t="shared" si="25"/>
        <v>1517</v>
      </c>
      <c r="B1519" s="36" t="s">
        <v>4</v>
      </c>
      <c r="C1519" s="36" t="s">
        <v>7588</v>
      </c>
      <c r="D1519" s="9" t="s">
        <v>6901</v>
      </c>
      <c r="E1519" s="9" t="s">
        <v>7321</v>
      </c>
      <c r="F1519" s="9" t="s">
        <v>6900</v>
      </c>
      <c r="G1519" s="36" t="s">
        <v>14</v>
      </c>
      <c r="H1519" s="36" t="str">
        <f>IFERROR(VLOOKUP(Table2[[#This Row], [Ticket]],Okey!A:B,2,0),"")</f>
        <v/>
      </c>
      <c r="I1519" s="36"/>
      <c r="J1519" s="36" t="str">
        <f>VLOOKUP(Table2[[#This Row], [Author]],People!A:B,2,0)</f>
        <v>HC</v>
      </c>
      <c r="M1519" s="36" t="s">
        <v>1613</v>
      </c>
    </row>
    <row r="1520" spans="1:13" x14ac:dyDescent="0.25">
      <c r="A1520" s="49">
        <f t="shared" si="25"/>
        <v>1518</v>
      </c>
      <c r="B1520" s="36" t="s">
        <v>4</v>
      </c>
      <c r="C1520" s="36" t="s">
        <v>7588</v>
      </c>
      <c r="D1520" s="9" t="s">
        <v>6902</v>
      </c>
      <c r="E1520" s="9" t="s">
        <v>7322</v>
      </c>
      <c r="F1520" s="9" t="s">
        <v>6900</v>
      </c>
      <c r="G1520" s="36" t="s">
        <v>14</v>
      </c>
      <c r="H1520" s="36" t="str">
        <f>IFERROR(VLOOKUP(Table2[[#This Row], [Ticket]],Okey!A:B,2,0),"")</f>
        <v/>
      </c>
      <c r="I1520" s="36"/>
      <c r="J1520" s="36" t="str">
        <f>VLOOKUP(Table2[[#This Row], [Author]],People!A:B,2,0)</f>
        <v>HC</v>
      </c>
      <c r="M1520" s="36" t="s">
        <v>1613</v>
      </c>
    </row>
    <row r="1521" spans="1:13" x14ac:dyDescent="0.25">
      <c r="A1521" s="49">
        <f t="shared" si="25"/>
        <v>1519</v>
      </c>
      <c r="B1521" s="36" t="s">
        <v>4</v>
      </c>
      <c r="C1521" s="36" t="s">
        <v>7588</v>
      </c>
      <c r="D1521" s="9" t="s">
        <v>6903</v>
      </c>
      <c r="E1521" s="9" t="s">
        <v>7323</v>
      </c>
      <c r="F1521" s="9" t="s">
        <v>6902</v>
      </c>
      <c r="G1521" s="36" t="s">
        <v>14</v>
      </c>
      <c r="H1521" s="36" t="str">
        <f>IFERROR(VLOOKUP(Table2[[#This Row], [Ticket]],Okey!A:B,2,0),"")</f>
        <v/>
      </c>
      <c r="I1521" s="36"/>
      <c r="J1521" s="36" t="str">
        <f>VLOOKUP(Table2[[#This Row], [Author]],People!A:B,2,0)</f>
        <v>HC</v>
      </c>
      <c r="M1521" s="36" t="s">
        <v>1613</v>
      </c>
    </row>
    <row r="1522" spans="1:13" x14ac:dyDescent="0.25">
      <c r="A1522" s="49">
        <f t="shared" si="25"/>
        <v>1520</v>
      </c>
      <c r="B1522" s="36" t="s">
        <v>4</v>
      </c>
      <c r="C1522" s="36" t="s">
        <v>7588</v>
      </c>
      <c r="D1522" s="9" t="s">
        <v>6904</v>
      </c>
      <c r="E1522" s="9" t="s">
        <v>7324</v>
      </c>
      <c r="F1522" s="9" t="s">
        <v>6902</v>
      </c>
      <c r="G1522" s="36" t="s">
        <v>14</v>
      </c>
      <c r="H1522" s="36" t="str">
        <f>IFERROR(VLOOKUP(Table2[[#This Row], [Ticket]],Okey!A:B,2,0),"")</f>
        <v/>
      </c>
      <c r="I1522" s="36"/>
      <c r="J1522" s="36" t="str">
        <f>VLOOKUP(Table2[[#This Row], [Author]],People!A:B,2,0)</f>
        <v>HC</v>
      </c>
      <c r="M1522" s="36" t="s">
        <v>1613</v>
      </c>
    </row>
    <row r="1523" spans="1:13" x14ac:dyDescent="0.25">
      <c r="A1523" s="49">
        <f t="shared" si="25"/>
        <v>1521</v>
      </c>
      <c r="B1523" s="36" t="s">
        <v>4</v>
      </c>
      <c r="C1523" s="36" t="s">
        <v>7588</v>
      </c>
      <c r="D1523" s="9" t="s">
        <v>6905</v>
      </c>
      <c r="E1523" s="9" t="s">
        <v>7325</v>
      </c>
      <c r="F1523" s="9" t="s">
        <v>6900</v>
      </c>
      <c r="G1523" s="36" t="s">
        <v>14</v>
      </c>
      <c r="H1523" s="36" t="str">
        <f>IFERROR(VLOOKUP(Table2[[#This Row], [Ticket]],Okey!A:B,2,0),"")</f>
        <v/>
      </c>
      <c r="I1523" s="36"/>
      <c r="J1523" s="36" t="str">
        <f>VLOOKUP(Table2[[#This Row], [Author]],People!A:B,2,0)</f>
        <v>HC</v>
      </c>
      <c r="M1523" s="36" t="s">
        <v>1613</v>
      </c>
    </row>
    <row r="1524" spans="1:13" x14ac:dyDescent="0.25">
      <c r="A1524" s="49">
        <f t="shared" si="25"/>
        <v>1522</v>
      </c>
      <c r="B1524" s="36" t="s">
        <v>4</v>
      </c>
      <c r="C1524" s="36" t="s">
        <v>7588</v>
      </c>
      <c r="D1524" s="9" t="s">
        <v>6906</v>
      </c>
      <c r="E1524" s="9" t="s">
        <v>7326</v>
      </c>
      <c r="F1524" s="9" t="s">
        <v>6905</v>
      </c>
      <c r="G1524" s="36" t="s">
        <v>14</v>
      </c>
      <c r="H1524" s="36" t="str">
        <f>IFERROR(VLOOKUP(Table2[[#This Row], [Ticket]],Okey!A:B,2,0),"")</f>
        <v/>
      </c>
      <c r="I1524" s="36"/>
      <c r="J1524" s="36" t="str">
        <f>VLOOKUP(Table2[[#This Row], [Author]],People!A:B,2,0)</f>
        <v>HC</v>
      </c>
      <c r="M1524" s="36" t="s">
        <v>1613</v>
      </c>
    </row>
    <row r="1525" spans="1:13" x14ac:dyDescent="0.25">
      <c r="A1525" s="49">
        <f t="shared" si="25"/>
        <v>1523</v>
      </c>
      <c r="B1525" s="36" t="s">
        <v>4</v>
      </c>
      <c r="C1525" s="36" t="s">
        <v>7588</v>
      </c>
      <c r="D1525" s="9" t="s">
        <v>6907</v>
      </c>
      <c r="E1525" s="9" t="s">
        <v>7327</v>
      </c>
      <c r="F1525" s="9" t="s">
        <v>6905</v>
      </c>
      <c r="G1525" s="36" t="s">
        <v>14</v>
      </c>
      <c r="H1525" s="36" t="str">
        <f>IFERROR(VLOOKUP(Table2[[#This Row], [Ticket]],Okey!A:B,2,0),"")</f>
        <v/>
      </c>
      <c r="I1525" s="36"/>
      <c r="J1525" s="36" t="str">
        <f>VLOOKUP(Table2[[#This Row], [Author]],People!A:B,2,0)</f>
        <v>HC</v>
      </c>
      <c r="M1525" s="36" t="s">
        <v>1613</v>
      </c>
    </row>
    <row r="1526" spans="1:13" x14ac:dyDescent="0.25">
      <c r="A1526" s="49">
        <f t="shared" si="25"/>
        <v>1524</v>
      </c>
      <c r="B1526" s="36" t="s">
        <v>4</v>
      </c>
      <c r="C1526" s="36" t="s">
        <v>7588</v>
      </c>
      <c r="D1526" s="9" t="s">
        <v>6908</v>
      </c>
      <c r="E1526" s="9" t="s">
        <v>7328</v>
      </c>
      <c r="F1526" s="9" t="s">
        <v>6716</v>
      </c>
      <c r="G1526" s="36" t="s">
        <v>14</v>
      </c>
      <c r="H1526" s="36" t="str">
        <f>IFERROR(VLOOKUP(Table2[[#This Row], [Ticket]],Okey!A:B,2,0),"")</f>
        <v/>
      </c>
      <c r="I1526" s="36"/>
      <c r="J1526" s="36" t="str">
        <f>VLOOKUP(Table2[[#This Row], [Author]],People!A:B,2,0)</f>
        <v>HC</v>
      </c>
      <c r="M1526" s="36" t="s">
        <v>1613</v>
      </c>
    </row>
    <row r="1527" spans="1:13" x14ac:dyDescent="0.25">
      <c r="A1527" s="49">
        <f t="shared" si="25"/>
        <v>1525</v>
      </c>
      <c r="B1527" s="36" t="s">
        <v>4</v>
      </c>
      <c r="C1527" s="36" t="s">
        <v>7588</v>
      </c>
      <c r="D1527" s="9" t="s">
        <v>6909</v>
      </c>
      <c r="E1527" s="9" t="s">
        <v>7329</v>
      </c>
      <c r="F1527" s="9" t="s">
        <v>6908</v>
      </c>
      <c r="G1527" s="36" t="s">
        <v>14</v>
      </c>
      <c r="H1527" s="36" t="str">
        <f>IFERROR(VLOOKUP(Table2[[#This Row], [Ticket]],Okey!A:B,2,0),"")</f>
        <v/>
      </c>
      <c r="I1527" s="36"/>
      <c r="J1527" s="36" t="str">
        <f>VLOOKUP(Table2[[#This Row], [Author]],People!A:B,2,0)</f>
        <v>HC</v>
      </c>
      <c r="M1527" s="36" t="s">
        <v>1613</v>
      </c>
    </row>
    <row r="1528" spans="1:13" x14ac:dyDescent="0.25">
      <c r="A1528" s="49">
        <f t="shared" si="25"/>
        <v>1526</v>
      </c>
      <c r="B1528" s="36" t="s">
        <v>4</v>
      </c>
      <c r="C1528" s="36" t="s">
        <v>7588</v>
      </c>
      <c r="D1528" s="9" t="s">
        <v>6910</v>
      </c>
      <c r="E1528" s="9" t="s">
        <v>7330</v>
      </c>
      <c r="F1528" s="9" t="s">
        <v>6908</v>
      </c>
      <c r="G1528" s="36" t="s">
        <v>14</v>
      </c>
      <c r="H1528" s="36" t="str">
        <f>IFERROR(VLOOKUP(Table2[[#This Row], [Ticket]],Okey!A:B,2,0),"")</f>
        <v/>
      </c>
      <c r="I1528" s="36"/>
      <c r="J1528" s="36" t="str">
        <f>VLOOKUP(Table2[[#This Row], [Author]],People!A:B,2,0)</f>
        <v>HC</v>
      </c>
      <c r="M1528" s="36" t="s">
        <v>1613</v>
      </c>
    </row>
    <row r="1529" spans="1:13" x14ac:dyDescent="0.25">
      <c r="A1529" s="49">
        <f t="shared" si="25"/>
        <v>1527</v>
      </c>
      <c r="B1529" s="36" t="s">
        <v>4</v>
      </c>
      <c r="C1529" s="36" t="s">
        <v>7588</v>
      </c>
      <c r="D1529" s="9" t="s">
        <v>6911</v>
      </c>
      <c r="E1529" s="9" t="s">
        <v>7331</v>
      </c>
      <c r="F1529" s="9" t="s">
        <v>6908</v>
      </c>
      <c r="G1529" s="36" t="s">
        <v>14</v>
      </c>
      <c r="H1529" s="36" t="str">
        <f>IFERROR(VLOOKUP(Table2[[#This Row], [Ticket]],Okey!A:B,2,0),"")</f>
        <v/>
      </c>
      <c r="I1529" s="36"/>
      <c r="J1529" s="36" t="str">
        <f>VLOOKUP(Table2[[#This Row], [Author]],People!A:B,2,0)</f>
        <v>HC</v>
      </c>
      <c r="M1529" s="36" t="s">
        <v>1613</v>
      </c>
    </row>
    <row r="1530" spans="1:13" x14ac:dyDescent="0.25">
      <c r="A1530" s="49">
        <f t="shared" si="25"/>
        <v>1528</v>
      </c>
      <c r="B1530" s="36" t="s">
        <v>4</v>
      </c>
      <c r="C1530" s="36" t="s">
        <v>7588</v>
      </c>
      <c r="D1530" s="9" t="s">
        <v>6912</v>
      </c>
      <c r="E1530" s="9" t="s">
        <v>7332</v>
      </c>
      <c r="F1530" s="9" t="s">
        <v>6911</v>
      </c>
      <c r="G1530" s="36" t="s">
        <v>14</v>
      </c>
      <c r="H1530" s="36" t="str">
        <f>IFERROR(VLOOKUP(Table2[[#This Row], [Ticket]],Okey!A:B,2,0),"")</f>
        <v/>
      </c>
      <c r="I1530" s="36"/>
      <c r="J1530" s="36" t="str">
        <f>VLOOKUP(Table2[[#This Row], [Author]],People!A:B,2,0)</f>
        <v>HC</v>
      </c>
      <c r="M1530" s="36" t="s">
        <v>1613</v>
      </c>
    </row>
    <row r="1531" spans="1:13" x14ac:dyDescent="0.25">
      <c r="A1531" s="49">
        <f t="shared" si="25"/>
        <v>1529</v>
      </c>
      <c r="B1531" s="36" t="s">
        <v>4</v>
      </c>
      <c r="C1531" s="36" t="s">
        <v>7588</v>
      </c>
      <c r="D1531" s="9" t="s">
        <v>6913</v>
      </c>
      <c r="E1531" s="9" t="s">
        <v>7333</v>
      </c>
      <c r="F1531" s="9" t="s">
        <v>6911</v>
      </c>
      <c r="G1531" s="36" t="s">
        <v>14</v>
      </c>
      <c r="H1531" s="36" t="str">
        <f>IFERROR(VLOOKUP(Table2[[#This Row], [Ticket]],Okey!A:B,2,0),"")</f>
        <v/>
      </c>
      <c r="I1531" s="36"/>
      <c r="J1531" s="36" t="str">
        <f>VLOOKUP(Table2[[#This Row], [Author]],People!A:B,2,0)</f>
        <v>HC</v>
      </c>
      <c r="M1531" s="36" t="s">
        <v>1613</v>
      </c>
    </row>
    <row r="1532" spans="1:13" x14ac:dyDescent="0.25">
      <c r="A1532" s="49">
        <f t="shared" si="25"/>
        <v>1530</v>
      </c>
      <c r="B1532" s="36" t="s">
        <v>4</v>
      </c>
      <c r="C1532" s="36" t="s">
        <v>7588</v>
      </c>
      <c r="D1532" s="9" t="s">
        <v>6914</v>
      </c>
      <c r="E1532" s="9" t="s">
        <v>7334</v>
      </c>
      <c r="F1532" s="9" t="s">
        <v>6908</v>
      </c>
      <c r="G1532" s="36" t="s">
        <v>14</v>
      </c>
      <c r="H1532" s="36" t="str">
        <f>IFERROR(VLOOKUP(Table2[[#This Row], [Ticket]],Okey!A:B,2,0),"")</f>
        <v/>
      </c>
      <c r="I1532" s="36"/>
      <c r="J1532" s="36" t="str">
        <f>VLOOKUP(Table2[[#This Row], [Author]],People!A:B,2,0)</f>
        <v>HC</v>
      </c>
      <c r="M1532" s="36" t="s">
        <v>1613</v>
      </c>
    </row>
    <row r="1533" spans="1:13" x14ac:dyDescent="0.25">
      <c r="A1533" s="49">
        <f t="shared" si="25"/>
        <v>1531</v>
      </c>
      <c r="B1533" s="36" t="s">
        <v>4</v>
      </c>
      <c r="C1533" s="36" t="s">
        <v>7588</v>
      </c>
      <c r="D1533" s="9" t="s">
        <v>6915</v>
      </c>
      <c r="E1533" s="9" t="s">
        <v>7335</v>
      </c>
      <c r="F1533" s="9" t="s">
        <v>6914</v>
      </c>
      <c r="G1533" s="36" t="s">
        <v>14</v>
      </c>
      <c r="H1533" s="36" t="str">
        <f>IFERROR(VLOOKUP(Table2[[#This Row], [Ticket]],Okey!A:B,2,0),"")</f>
        <v/>
      </c>
      <c r="I1533" s="36"/>
      <c r="J1533" s="36" t="str">
        <f>VLOOKUP(Table2[[#This Row], [Author]],People!A:B,2,0)</f>
        <v>HC</v>
      </c>
      <c r="M1533" s="36" t="s">
        <v>1613</v>
      </c>
    </row>
    <row r="1534" spans="1:13" x14ac:dyDescent="0.25">
      <c r="A1534" s="49">
        <f t="shared" si="25"/>
        <v>1532</v>
      </c>
      <c r="B1534" s="36" t="s">
        <v>4</v>
      </c>
      <c r="C1534" s="36" t="s">
        <v>7588</v>
      </c>
      <c r="D1534" s="9" t="s">
        <v>6916</v>
      </c>
      <c r="E1534" s="9" t="s">
        <v>7336</v>
      </c>
      <c r="F1534" s="9" t="s">
        <v>6914</v>
      </c>
      <c r="G1534" s="36" t="s">
        <v>14</v>
      </c>
      <c r="H1534" s="36" t="str">
        <f>IFERROR(VLOOKUP(Table2[[#This Row], [Ticket]],Okey!A:B,2,0),"")</f>
        <v/>
      </c>
      <c r="I1534" s="36"/>
      <c r="J1534" s="36" t="str">
        <f>VLOOKUP(Table2[[#This Row], [Author]],People!A:B,2,0)</f>
        <v>HC</v>
      </c>
      <c r="M1534" s="36" t="s">
        <v>1613</v>
      </c>
    </row>
    <row r="1535" spans="1:13" x14ac:dyDescent="0.25">
      <c r="A1535" s="49">
        <f t="shared" si="25"/>
        <v>1533</v>
      </c>
      <c r="B1535" s="36" t="s">
        <v>4</v>
      </c>
      <c r="C1535" s="36" t="s">
        <v>7588</v>
      </c>
      <c r="D1535" s="9" t="s">
        <v>6917</v>
      </c>
      <c r="E1535" s="9" t="s">
        <v>7337</v>
      </c>
      <c r="F1535" s="9" t="s">
        <v>6914</v>
      </c>
      <c r="G1535" s="36" t="s">
        <v>14</v>
      </c>
      <c r="H1535" s="36" t="str">
        <f>IFERROR(VLOOKUP(Table2[[#This Row], [Ticket]],Okey!A:B,2,0),"")</f>
        <v/>
      </c>
      <c r="I1535" s="36"/>
      <c r="J1535" s="36" t="str">
        <f>VLOOKUP(Table2[[#This Row], [Author]],People!A:B,2,0)</f>
        <v>HC</v>
      </c>
      <c r="M1535" s="36" t="s">
        <v>1613</v>
      </c>
    </row>
    <row r="1536" spans="1:13" x14ac:dyDescent="0.25">
      <c r="A1536" s="49">
        <f t="shared" si="25"/>
        <v>1534</v>
      </c>
      <c r="B1536" s="36" t="s">
        <v>4</v>
      </c>
      <c r="C1536" s="36" t="s">
        <v>7588</v>
      </c>
      <c r="D1536" s="9" t="s">
        <v>6918</v>
      </c>
      <c r="E1536" s="9" t="s">
        <v>7338</v>
      </c>
      <c r="F1536" s="9" t="s">
        <v>6914</v>
      </c>
      <c r="G1536" s="36" t="s">
        <v>14</v>
      </c>
      <c r="H1536" s="36" t="str">
        <f>IFERROR(VLOOKUP(Table2[[#This Row], [Ticket]],Okey!A:B,2,0),"")</f>
        <v/>
      </c>
      <c r="I1536" s="36"/>
      <c r="J1536" s="36" t="str">
        <f>VLOOKUP(Table2[[#This Row], [Author]],People!A:B,2,0)</f>
        <v>HC</v>
      </c>
      <c r="M1536" s="36" t="s">
        <v>1613</v>
      </c>
    </row>
    <row r="1537" spans="1:13" x14ac:dyDescent="0.25">
      <c r="A1537" s="49">
        <f t="shared" si="25"/>
        <v>1535</v>
      </c>
      <c r="B1537" s="36" t="s">
        <v>4</v>
      </c>
      <c r="C1537" s="36" t="s">
        <v>7588</v>
      </c>
      <c r="D1537" s="9" t="s">
        <v>6919</v>
      </c>
      <c r="E1537" s="9" t="s">
        <v>7339</v>
      </c>
      <c r="F1537" s="9" t="s">
        <v>6914</v>
      </c>
      <c r="G1537" s="36" t="s">
        <v>14</v>
      </c>
      <c r="H1537" s="36" t="str">
        <f>IFERROR(VLOOKUP(Table2[[#This Row], [Ticket]],Okey!A:B,2,0),"")</f>
        <v/>
      </c>
      <c r="I1537" s="36"/>
      <c r="J1537" s="36" t="str">
        <f>VLOOKUP(Table2[[#This Row], [Author]],People!A:B,2,0)</f>
        <v>HC</v>
      </c>
      <c r="M1537" s="36" t="s">
        <v>1613</v>
      </c>
    </row>
    <row r="1538" spans="1:13" x14ac:dyDescent="0.25">
      <c r="A1538" s="49">
        <f t="shared" si="25"/>
        <v>1536</v>
      </c>
      <c r="B1538" s="36" t="s">
        <v>4</v>
      </c>
      <c r="C1538" s="36" t="s">
        <v>7588</v>
      </c>
      <c r="D1538" s="9" t="s">
        <v>6920</v>
      </c>
      <c r="E1538" s="9" t="s">
        <v>7340</v>
      </c>
      <c r="F1538" s="9" t="s">
        <v>6718</v>
      </c>
      <c r="G1538" s="36" t="s">
        <v>14</v>
      </c>
      <c r="H1538" s="36" t="str">
        <f>IFERROR(VLOOKUP(Table2[[#This Row], [Ticket]],Okey!A:B,2,0),"")</f>
        <v/>
      </c>
      <c r="I1538" s="36"/>
      <c r="J1538" s="36" t="str">
        <f>VLOOKUP(Table2[[#This Row], [Author]],People!A:B,2,0)</f>
        <v>HC</v>
      </c>
      <c r="M1538" s="36" t="s">
        <v>1613</v>
      </c>
    </row>
    <row r="1539" spans="1:13" x14ac:dyDescent="0.25">
      <c r="A1539" s="49">
        <f t="shared" si="25"/>
        <v>1537</v>
      </c>
      <c r="B1539" s="36" t="s">
        <v>4</v>
      </c>
      <c r="C1539" s="36" t="s">
        <v>7588</v>
      </c>
      <c r="D1539" s="9" t="s">
        <v>6921</v>
      </c>
      <c r="E1539" s="9" t="s">
        <v>7341</v>
      </c>
      <c r="F1539" s="9" t="s">
        <v>6920</v>
      </c>
      <c r="G1539" s="36" t="s">
        <v>14</v>
      </c>
      <c r="H1539" s="36" t="str">
        <f>IFERROR(VLOOKUP(Table2[[#This Row], [Ticket]],Okey!A:B,2,0),"")</f>
        <v/>
      </c>
      <c r="I1539" s="36"/>
      <c r="J1539" s="36" t="str">
        <f>VLOOKUP(Table2[[#This Row], [Author]],People!A:B,2,0)</f>
        <v>HC</v>
      </c>
      <c r="M1539" s="36" t="s">
        <v>1613</v>
      </c>
    </row>
    <row r="1540" spans="1:13" x14ac:dyDescent="0.25">
      <c r="A1540" s="49">
        <f t="shared" si="25"/>
        <v>1538</v>
      </c>
      <c r="B1540" s="36" t="s">
        <v>4</v>
      </c>
      <c r="C1540" s="36" t="s">
        <v>7588</v>
      </c>
      <c r="D1540" s="9" t="s">
        <v>6922</v>
      </c>
      <c r="E1540" s="9" t="s">
        <v>7342</v>
      </c>
      <c r="F1540" s="9" t="s">
        <v>6920</v>
      </c>
      <c r="G1540" s="36" t="s">
        <v>14</v>
      </c>
      <c r="H1540" s="36" t="str">
        <f>IFERROR(VLOOKUP(Table2[[#This Row], [Ticket]],Okey!A:B,2,0),"")</f>
        <v/>
      </c>
      <c r="I1540" s="36"/>
      <c r="J1540" s="36" t="str">
        <f>VLOOKUP(Table2[[#This Row], [Author]],People!A:B,2,0)</f>
        <v>HC</v>
      </c>
      <c r="M1540" s="36" t="s">
        <v>1613</v>
      </c>
    </row>
    <row r="1541" spans="1:13" x14ac:dyDescent="0.25">
      <c r="A1541" s="49">
        <f t="shared" si="25"/>
        <v>1539</v>
      </c>
      <c r="B1541" s="36" t="s">
        <v>4</v>
      </c>
      <c r="C1541" s="36" t="s">
        <v>7588</v>
      </c>
      <c r="D1541" s="9" t="s">
        <v>6923</v>
      </c>
      <c r="E1541" s="9" t="s">
        <v>7343</v>
      </c>
      <c r="F1541" s="9" t="s">
        <v>6922</v>
      </c>
      <c r="G1541" s="36" t="s">
        <v>14</v>
      </c>
      <c r="H1541" s="36" t="str">
        <f>IFERROR(VLOOKUP(Table2[[#This Row], [Ticket]],Okey!A:B,2,0),"")</f>
        <v/>
      </c>
      <c r="I1541" s="36"/>
      <c r="J1541" s="36" t="str">
        <f>VLOOKUP(Table2[[#This Row], [Author]],People!A:B,2,0)</f>
        <v>HC</v>
      </c>
      <c r="M1541" s="36" t="s">
        <v>1613</v>
      </c>
    </row>
    <row r="1542" spans="1:13" x14ac:dyDescent="0.25">
      <c r="A1542" s="49">
        <f t="shared" si="25"/>
        <v>1540</v>
      </c>
      <c r="B1542" s="36" t="s">
        <v>4</v>
      </c>
      <c r="C1542" s="36" t="s">
        <v>7588</v>
      </c>
      <c r="D1542" s="9" t="s">
        <v>6924</v>
      </c>
      <c r="E1542" s="9" t="s">
        <v>7344</v>
      </c>
      <c r="F1542" s="9" t="s">
        <v>6922</v>
      </c>
      <c r="G1542" s="36" t="s">
        <v>14</v>
      </c>
      <c r="H1542" s="36" t="str">
        <f>IFERROR(VLOOKUP(Table2[[#This Row], [Ticket]],Okey!A:B,2,0),"")</f>
        <v/>
      </c>
      <c r="I1542" s="36"/>
      <c r="J1542" s="36" t="str">
        <f>VLOOKUP(Table2[[#This Row], [Author]],People!A:B,2,0)</f>
        <v>HC</v>
      </c>
      <c r="M1542" s="36" t="s">
        <v>1613</v>
      </c>
    </row>
    <row r="1543" spans="1:13" x14ac:dyDescent="0.25">
      <c r="A1543" s="49">
        <f t="shared" si="25"/>
        <v>1541</v>
      </c>
      <c r="B1543" s="36" t="s">
        <v>4</v>
      </c>
      <c r="C1543" s="36" t="s">
        <v>7588</v>
      </c>
      <c r="D1543" s="9" t="s">
        <v>6925</v>
      </c>
      <c r="E1543" s="9" t="s">
        <v>7345</v>
      </c>
      <c r="F1543" s="9" t="s">
        <v>6920</v>
      </c>
      <c r="G1543" s="36" t="s">
        <v>14</v>
      </c>
      <c r="H1543" s="36" t="str">
        <f>IFERROR(VLOOKUP(Table2[[#This Row], [Ticket]],Okey!A:B,2,0),"")</f>
        <v/>
      </c>
      <c r="I1543" s="36"/>
      <c r="J1543" s="36" t="str">
        <f>VLOOKUP(Table2[[#This Row], [Author]],People!A:B,2,0)</f>
        <v>HC</v>
      </c>
      <c r="M1543" s="36" t="s">
        <v>1613</v>
      </c>
    </row>
    <row r="1544" spans="1:13" x14ac:dyDescent="0.25">
      <c r="A1544" s="49">
        <f t="shared" si="25"/>
        <v>1542</v>
      </c>
      <c r="B1544" s="36" t="s">
        <v>4</v>
      </c>
      <c r="C1544" s="36" t="s">
        <v>7588</v>
      </c>
      <c r="D1544" s="9" t="s">
        <v>6926</v>
      </c>
      <c r="E1544" s="9" t="s">
        <v>7346</v>
      </c>
      <c r="F1544" s="9" t="s">
        <v>6925</v>
      </c>
      <c r="G1544" s="36" t="s">
        <v>14</v>
      </c>
      <c r="H1544" s="36" t="str">
        <f>IFERROR(VLOOKUP(Table2[[#This Row], [Ticket]],Okey!A:B,2,0),"")</f>
        <v/>
      </c>
      <c r="I1544" s="36"/>
      <c r="J1544" s="36" t="str">
        <f>VLOOKUP(Table2[[#This Row], [Author]],People!A:B,2,0)</f>
        <v>HC</v>
      </c>
      <c r="M1544" s="36" t="s">
        <v>1613</v>
      </c>
    </row>
    <row r="1545" spans="1:13" x14ac:dyDescent="0.25">
      <c r="A1545" s="49">
        <f t="shared" si="25"/>
        <v>1543</v>
      </c>
      <c r="B1545" s="36" t="s">
        <v>4</v>
      </c>
      <c r="C1545" s="36" t="s">
        <v>7588</v>
      </c>
      <c r="D1545" s="9" t="s">
        <v>6927</v>
      </c>
      <c r="E1545" s="9" t="s">
        <v>7347</v>
      </c>
      <c r="F1545" s="9" t="s">
        <v>6925</v>
      </c>
      <c r="G1545" s="36" t="s">
        <v>14</v>
      </c>
      <c r="H1545" s="36" t="str">
        <f>IFERROR(VLOOKUP(Table2[[#This Row], [Ticket]],Okey!A:B,2,0),"")</f>
        <v/>
      </c>
      <c r="I1545" s="36"/>
      <c r="J1545" s="36" t="str">
        <f>VLOOKUP(Table2[[#This Row], [Author]],People!A:B,2,0)</f>
        <v>HC</v>
      </c>
      <c r="M1545" s="36" t="s">
        <v>1613</v>
      </c>
    </row>
    <row r="1546" spans="1:13" x14ac:dyDescent="0.25">
      <c r="A1546" s="49">
        <f t="shared" si="25"/>
        <v>1544</v>
      </c>
      <c r="B1546" s="36" t="s">
        <v>4</v>
      </c>
      <c r="C1546" s="36" t="s">
        <v>7588</v>
      </c>
      <c r="D1546" s="9" t="s">
        <v>6928</v>
      </c>
      <c r="E1546" s="9" t="s">
        <v>7348</v>
      </c>
      <c r="F1546" s="9" t="s">
        <v>6716</v>
      </c>
      <c r="G1546" s="36" t="s">
        <v>14</v>
      </c>
      <c r="H1546" s="36" t="str">
        <f>IFERROR(VLOOKUP(Table2[[#This Row], [Ticket]],Okey!A:B,2,0),"")</f>
        <v/>
      </c>
      <c r="I1546" s="36"/>
      <c r="J1546" s="36" t="str">
        <f>VLOOKUP(Table2[[#This Row], [Author]],People!A:B,2,0)</f>
        <v>HC</v>
      </c>
      <c r="M1546" s="36" t="s">
        <v>1613</v>
      </c>
    </row>
    <row r="1547" spans="1:13" x14ac:dyDescent="0.25">
      <c r="A1547" s="49">
        <f t="shared" si="25"/>
        <v>1545</v>
      </c>
      <c r="B1547" s="36" t="s">
        <v>4</v>
      </c>
      <c r="C1547" s="36" t="s">
        <v>7588</v>
      </c>
      <c r="D1547" s="9" t="s">
        <v>6929</v>
      </c>
      <c r="E1547" s="9" t="s">
        <v>7349</v>
      </c>
      <c r="F1547" s="9" t="s">
        <v>6928</v>
      </c>
      <c r="G1547" s="36" t="s">
        <v>14</v>
      </c>
      <c r="H1547" s="36" t="str">
        <f>IFERROR(VLOOKUP(Table2[[#This Row], [Ticket]],Okey!A:B,2,0),"")</f>
        <v/>
      </c>
      <c r="I1547" s="36"/>
      <c r="J1547" s="36" t="str">
        <f>VLOOKUP(Table2[[#This Row], [Author]],People!A:B,2,0)</f>
        <v>HC</v>
      </c>
      <c r="M1547" s="36" t="s">
        <v>1613</v>
      </c>
    </row>
    <row r="1548" spans="1:13" x14ac:dyDescent="0.25">
      <c r="A1548" s="49">
        <f t="shared" si="25"/>
        <v>1546</v>
      </c>
      <c r="B1548" s="36" t="s">
        <v>4</v>
      </c>
      <c r="C1548" s="36" t="s">
        <v>7588</v>
      </c>
      <c r="D1548" s="9" t="s">
        <v>6930</v>
      </c>
      <c r="E1548" s="9" t="s">
        <v>7350</v>
      </c>
      <c r="F1548" s="9" t="s">
        <v>6928</v>
      </c>
      <c r="G1548" s="36" t="s">
        <v>14</v>
      </c>
      <c r="H1548" s="36" t="str">
        <f>IFERROR(VLOOKUP(Table2[[#This Row], [Ticket]],Okey!A:B,2,0),"")</f>
        <v/>
      </c>
      <c r="I1548" s="36"/>
      <c r="J1548" s="36" t="str">
        <f>VLOOKUP(Table2[[#This Row], [Author]],People!A:B,2,0)</f>
        <v>HC</v>
      </c>
      <c r="M1548" s="36" t="s">
        <v>1613</v>
      </c>
    </row>
    <row r="1549" spans="1:13" x14ac:dyDescent="0.25">
      <c r="A1549" s="49">
        <f t="shared" si="25"/>
        <v>1547</v>
      </c>
      <c r="B1549" s="36" t="s">
        <v>4</v>
      </c>
      <c r="C1549" s="36" t="s">
        <v>7588</v>
      </c>
      <c r="D1549" s="9" t="s">
        <v>6931</v>
      </c>
      <c r="E1549" s="9" t="s">
        <v>7351</v>
      </c>
      <c r="F1549" s="9" t="s">
        <v>6928</v>
      </c>
      <c r="G1549" s="36" t="s">
        <v>14</v>
      </c>
      <c r="H1549" s="36" t="str">
        <f>IFERROR(VLOOKUP(Table2[[#This Row], [Ticket]],Okey!A:B,2,0),"")</f>
        <v/>
      </c>
      <c r="I1549" s="36"/>
      <c r="J1549" s="36" t="str">
        <f>VLOOKUP(Table2[[#This Row], [Author]],People!A:B,2,0)</f>
        <v>HC</v>
      </c>
      <c r="M1549" s="36" t="s">
        <v>1613</v>
      </c>
    </row>
    <row r="1550" spans="1:13" x14ac:dyDescent="0.25">
      <c r="A1550" s="49">
        <f t="shared" si="25"/>
        <v>1548</v>
      </c>
      <c r="B1550" s="36" t="s">
        <v>4</v>
      </c>
      <c r="C1550" s="36" t="s">
        <v>7588</v>
      </c>
      <c r="D1550" s="9" t="s">
        <v>6932</v>
      </c>
      <c r="E1550" s="9" t="s">
        <v>7352</v>
      </c>
      <c r="F1550" s="9" t="s">
        <v>6931</v>
      </c>
      <c r="G1550" s="36" t="s">
        <v>14</v>
      </c>
      <c r="H1550" s="36" t="str">
        <f>IFERROR(VLOOKUP(Table2[[#This Row], [Ticket]],Okey!A:B,2,0),"")</f>
        <v/>
      </c>
      <c r="I1550" s="36"/>
      <c r="J1550" s="36" t="str">
        <f>VLOOKUP(Table2[[#This Row], [Author]],People!A:B,2,0)</f>
        <v>HC</v>
      </c>
      <c r="M1550" s="36" t="s">
        <v>1613</v>
      </c>
    </row>
    <row r="1551" spans="1:13" x14ac:dyDescent="0.25">
      <c r="A1551" s="49">
        <f t="shared" si="25"/>
        <v>1549</v>
      </c>
      <c r="B1551" s="36" t="s">
        <v>4</v>
      </c>
      <c r="C1551" s="36" t="s">
        <v>7588</v>
      </c>
      <c r="D1551" s="9" t="s">
        <v>6933</v>
      </c>
      <c r="E1551" s="9" t="s">
        <v>7353</v>
      </c>
      <c r="F1551" s="9" t="s">
        <v>6931</v>
      </c>
      <c r="G1551" s="36" t="s">
        <v>14</v>
      </c>
      <c r="H1551" s="36" t="str">
        <f>IFERROR(VLOOKUP(Table2[[#This Row], [Ticket]],Okey!A:B,2,0),"")</f>
        <v/>
      </c>
      <c r="I1551" s="36"/>
      <c r="J1551" s="36" t="str">
        <f>VLOOKUP(Table2[[#This Row], [Author]],People!A:B,2,0)</f>
        <v>HC</v>
      </c>
      <c r="M1551" s="36" t="s">
        <v>1613</v>
      </c>
    </row>
    <row r="1552" spans="1:13" x14ac:dyDescent="0.25">
      <c r="A1552" s="49">
        <f t="shared" si="25"/>
        <v>1550</v>
      </c>
      <c r="B1552" s="36" t="s">
        <v>4</v>
      </c>
      <c r="C1552" s="36" t="s">
        <v>7588</v>
      </c>
      <c r="D1552" s="9" t="s">
        <v>6934</v>
      </c>
      <c r="E1552" s="9" t="s">
        <v>7354</v>
      </c>
      <c r="F1552" s="9" t="s">
        <v>6928</v>
      </c>
      <c r="G1552" s="36" t="s">
        <v>14</v>
      </c>
      <c r="H1552" s="36" t="str">
        <f>IFERROR(VLOOKUP(Table2[[#This Row], [Ticket]],Okey!A:B,2,0),"")</f>
        <v/>
      </c>
      <c r="I1552" s="36"/>
      <c r="J1552" s="36" t="str">
        <f>VLOOKUP(Table2[[#This Row], [Author]],People!A:B,2,0)</f>
        <v>HC</v>
      </c>
      <c r="M1552" s="36" t="s">
        <v>1613</v>
      </c>
    </row>
    <row r="1553" spans="1:13" x14ac:dyDescent="0.25">
      <c r="A1553" s="49">
        <f t="shared" si="25"/>
        <v>1551</v>
      </c>
      <c r="B1553" s="36" t="s">
        <v>4</v>
      </c>
      <c r="C1553" s="36" t="s">
        <v>7588</v>
      </c>
      <c r="D1553" s="9" t="s">
        <v>6935</v>
      </c>
      <c r="E1553" s="9" t="s">
        <v>7355</v>
      </c>
      <c r="F1553" s="9" t="s">
        <v>6934</v>
      </c>
      <c r="G1553" s="36" t="s">
        <v>14</v>
      </c>
      <c r="H1553" s="36" t="str">
        <f>IFERROR(VLOOKUP(Table2[[#This Row], [Ticket]],Okey!A:B,2,0),"")</f>
        <v/>
      </c>
      <c r="I1553" s="36"/>
      <c r="J1553" s="36" t="str">
        <f>VLOOKUP(Table2[[#This Row], [Author]],People!A:B,2,0)</f>
        <v>HC</v>
      </c>
      <c r="M1553" s="36" t="s">
        <v>1613</v>
      </c>
    </row>
    <row r="1554" spans="1:13" x14ac:dyDescent="0.25">
      <c r="A1554" s="49">
        <f t="shared" si="25"/>
        <v>1552</v>
      </c>
      <c r="B1554" s="36" t="s">
        <v>4</v>
      </c>
      <c r="C1554" s="36" t="s">
        <v>7588</v>
      </c>
      <c r="D1554" s="9" t="s">
        <v>6936</v>
      </c>
      <c r="E1554" s="9" t="s">
        <v>7356</v>
      </c>
      <c r="F1554" s="9" t="s">
        <v>6934</v>
      </c>
      <c r="G1554" s="36" t="s">
        <v>14</v>
      </c>
      <c r="H1554" s="36" t="str">
        <f>IFERROR(VLOOKUP(Table2[[#This Row], [Ticket]],Okey!A:B,2,0),"")</f>
        <v/>
      </c>
      <c r="I1554" s="36"/>
      <c r="J1554" s="36" t="str">
        <f>VLOOKUP(Table2[[#This Row], [Author]],People!A:B,2,0)</f>
        <v>HC</v>
      </c>
      <c r="M1554" s="36" t="s">
        <v>1613</v>
      </c>
    </row>
    <row r="1555" spans="1:13" x14ac:dyDescent="0.25">
      <c r="A1555" s="49">
        <f t="shared" si="25"/>
        <v>1553</v>
      </c>
      <c r="B1555" s="36" t="s">
        <v>4</v>
      </c>
      <c r="C1555" s="36" t="s">
        <v>7588</v>
      </c>
      <c r="D1555" s="9" t="s">
        <v>6937</v>
      </c>
      <c r="E1555" s="9" t="s">
        <v>7357</v>
      </c>
      <c r="F1555" s="9" t="s">
        <v>6934</v>
      </c>
      <c r="G1555" s="36" t="s">
        <v>14</v>
      </c>
      <c r="H1555" s="36" t="str">
        <f>IFERROR(VLOOKUP(Table2[[#This Row], [Ticket]],Okey!A:B,2,0),"")</f>
        <v/>
      </c>
      <c r="I1555" s="36"/>
      <c r="J1555" s="36" t="str">
        <f>VLOOKUP(Table2[[#This Row], [Author]],People!A:B,2,0)</f>
        <v>HC</v>
      </c>
      <c r="M1555" s="36" t="s">
        <v>1613</v>
      </c>
    </row>
    <row r="1556" spans="1:13" x14ac:dyDescent="0.25">
      <c r="A1556" s="49">
        <f t="shared" si="25"/>
        <v>1554</v>
      </c>
      <c r="B1556" s="36" t="s">
        <v>4</v>
      </c>
      <c r="C1556" s="36" t="s">
        <v>7588</v>
      </c>
      <c r="D1556" s="9" t="s">
        <v>6938</v>
      </c>
      <c r="E1556" s="9" t="s">
        <v>7358</v>
      </c>
      <c r="F1556" s="9" t="s">
        <v>6934</v>
      </c>
      <c r="G1556" s="36" t="s">
        <v>14</v>
      </c>
      <c r="H1556" s="36" t="str">
        <f>IFERROR(VLOOKUP(Table2[[#This Row], [Ticket]],Okey!A:B,2,0),"")</f>
        <v/>
      </c>
      <c r="I1556" s="36"/>
      <c r="J1556" s="36" t="str">
        <f>VLOOKUP(Table2[[#This Row], [Author]],People!A:B,2,0)</f>
        <v>HC</v>
      </c>
      <c r="M1556" s="36" t="s">
        <v>1613</v>
      </c>
    </row>
    <row r="1557" spans="1:13" x14ac:dyDescent="0.25">
      <c r="A1557" s="49">
        <f t="shared" ref="A1557:A1620" si="26">1+A1556</f>
        <v>1555</v>
      </c>
      <c r="B1557" s="36" t="s">
        <v>4</v>
      </c>
      <c r="C1557" s="36" t="s">
        <v>7588</v>
      </c>
      <c r="D1557" s="9" t="s">
        <v>6939</v>
      </c>
      <c r="E1557" s="9" t="s">
        <v>7359</v>
      </c>
      <c r="F1557" s="9" t="s">
        <v>6934</v>
      </c>
      <c r="G1557" s="36" t="s">
        <v>14</v>
      </c>
      <c r="H1557" s="36" t="str">
        <f>IFERROR(VLOOKUP(Table2[[#This Row], [Ticket]],Okey!A:B,2,0),"")</f>
        <v/>
      </c>
      <c r="I1557" s="36"/>
      <c r="J1557" s="36" t="str">
        <f>VLOOKUP(Table2[[#This Row], [Author]],People!A:B,2,0)</f>
        <v>HC</v>
      </c>
      <c r="M1557" s="36" t="s">
        <v>1613</v>
      </c>
    </row>
    <row r="1558" spans="1:13" x14ac:dyDescent="0.25">
      <c r="A1558" s="49">
        <f t="shared" si="26"/>
        <v>1556</v>
      </c>
      <c r="B1558" s="36" t="s">
        <v>4</v>
      </c>
      <c r="C1558" s="36" t="s">
        <v>7588</v>
      </c>
      <c r="D1558" s="9" t="s">
        <v>6940</v>
      </c>
      <c r="E1558" s="9" t="s">
        <v>7360</v>
      </c>
      <c r="F1558" s="9" t="s">
        <v>6718</v>
      </c>
      <c r="G1558" s="36" t="s">
        <v>14</v>
      </c>
      <c r="H1558" s="36" t="str">
        <f>IFERROR(VLOOKUP(Table2[[#This Row], [Ticket]],Okey!A:B,2,0),"")</f>
        <v/>
      </c>
      <c r="I1558" s="36"/>
      <c r="J1558" s="36" t="str">
        <f>VLOOKUP(Table2[[#This Row], [Author]],People!A:B,2,0)</f>
        <v>HC</v>
      </c>
      <c r="M1558" s="36" t="s">
        <v>1613</v>
      </c>
    </row>
    <row r="1559" spans="1:13" x14ac:dyDescent="0.25">
      <c r="A1559" s="49">
        <f t="shared" si="26"/>
        <v>1557</v>
      </c>
      <c r="B1559" s="36" t="s">
        <v>4</v>
      </c>
      <c r="C1559" s="36" t="s">
        <v>7588</v>
      </c>
      <c r="D1559" s="9" t="s">
        <v>6941</v>
      </c>
      <c r="E1559" s="9" t="s">
        <v>7361</v>
      </c>
      <c r="F1559" s="9" t="s">
        <v>6940</v>
      </c>
      <c r="G1559" s="36" t="s">
        <v>14</v>
      </c>
      <c r="H1559" s="36" t="str">
        <f>IFERROR(VLOOKUP(Table2[[#This Row], [Ticket]],Okey!A:B,2,0),"")</f>
        <v/>
      </c>
      <c r="I1559" s="36"/>
      <c r="J1559" s="36" t="str">
        <f>VLOOKUP(Table2[[#This Row], [Author]],People!A:B,2,0)</f>
        <v>HC</v>
      </c>
      <c r="M1559" s="36" t="s">
        <v>1613</v>
      </c>
    </row>
    <row r="1560" spans="1:13" x14ac:dyDescent="0.25">
      <c r="A1560" s="49">
        <f t="shared" si="26"/>
        <v>1558</v>
      </c>
      <c r="B1560" s="36" t="s">
        <v>4</v>
      </c>
      <c r="C1560" s="36" t="s">
        <v>7588</v>
      </c>
      <c r="D1560" s="9" t="s">
        <v>6942</v>
      </c>
      <c r="E1560" s="9" t="s">
        <v>7362</v>
      </c>
      <c r="F1560" s="9" t="s">
        <v>6940</v>
      </c>
      <c r="G1560" s="36" t="s">
        <v>14</v>
      </c>
      <c r="H1560" s="36" t="str">
        <f>IFERROR(VLOOKUP(Table2[[#This Row], [Ticket]],Okey!A:B,2,0),"")</f>
        <v/>
      </c>
      <c r="I1560" s="36"/>
      <c r="J1560" s="36" t="str">
        <f>VLOOKUP(Table2[[#This Row], [Author]],People!A:B,2,0)</f>
        <v>HC</v>
      </c>
      <c r="M1560" s="36" t="s">
        <v>1613</v>
      </c>
    </row>
    <row r="1561" spans="1:13" x14ac:dyDescent="0.25">
      <c r="A1561" s="49">
        <f t="shared" si="26"/>
        <v>1559</v>
      </c>
      <c r="B1561" s="36" t="s">
        <v>4</v>
      </c>
      <c r="C1561" s="36" t="s">
        <v>7588</v>
      </c>
      <c r="D1561" s="9" t="s">
        <v>6943</v>
      </c>
      <c r="E1561" s="9" t="s">
        <v>7363</v>
      </c>
      <c r="F1561" s="9" t="s">
        <v>6942</v>
      </c>
      <c r="G1561" s="36" t="s">
        <v>14</v>
      </c>
      <c r="H1561" s="36" t="str">
        <f>IFERROR(VLOOKUP(Table2[[#This Row], [Ticket]],Okey!A:B,2,0),"")</f>
        <v/>
      </c>
      <c r="I1561" s="36"/>
      <c r="J1561" s="36" t="str">
        <f>VLOOKUP(Table2[[#This Row], [Author]],People!A:B,2,0)</f>
        <v>HC</v>
      </c>
      <c r="M1561" s="36" t="s">
        <v>1613</v>
      </c>
    </row>
    <row r="1562" spans="1:13" x14ac:dyDescent="0.25">
      <c r="A1562" s="49">
        <f t="shared" si="26"/>
        <v>1560</v>
      </c>
      <c r="B1562" s="36" t="s">
        <v>4</v>
      </c>
      <c r="C1562" s="36" t="s">
        <v>7588</v>
      </c>
      <c r="D1562" s="9" t="s">
        <v>6944</v>
      </c>
      <c r="E1562" s="9" t="s">
        <v>7364</v>
      </c>
      <c r="F1562" s="9" t="s">
        <v>6942</v>
      </c>
      <c r="G1562" s="36" t="s">
        <v>14</v>
      </c>
      <c r="H1562" s="36" t="str">
        <f>IFERROR(VLOOKUP(Table2[[#This Row], [Ticket]],Okey!A:B,2,0),"")</f>
        <v/>
      </c>
      <c r="I1562" s="36"/>
      <c r="J1562" s="36" t="str">
        <f>VLOOKUP(Table2[[#This Row], [Author]],People!A:B,2,0)</f>
        <v>HC</v>
      </c>
      <c r="M1562" s="36" t="s">
        <v>1613</v>
      </c>
    </row>
    <row r="1563" spans="1:13" x14ac:dyDescent="0.25">
      <c r="A1563" s="49">
        <f t="shared" si="26"/>
        <v>1561</v>
      </c>
      <c r="B1563" s="36" t="s">
        <v>4</v>
      </c>
      <c r="C1563" s="36" t="s">
        <v>7588</v>
      </c>
      <c r="D1563" s="9" t="s">
        <v>6945</v>
      </c>
      <c r="E1563" s="9" t="s">
        <v>7365</v>
      </c>
      <c r="F1563" s="9" t="s">
        <v>6940</v>
      </c>
      <c r="G1563" s="36" t="s">
        <v>14</v>
      </c>
      <c r="H1563" s="36" t="str">
        <f>IFERROR(VLOOKUP(Table2[[#This Row], [Ticket]],Okey!A:B,2,0),"")</f>
        <v/>
      </c>
      <c r="I1563" s="36"/>
      <c r="J1563" s="36" t="str">
        <f>VLOOKUP(Table2[[#This Row], [Author]],People!A:B,2,0)</f>
        <v>HC</v>
      </c>
      <c r="M1563" s="36" t="s">
        <v>1613</v>
      </c>
    </row>
    <row r="1564" spans="1:13" x14ac:dyDescent="0.25">
      <c r="A1564" s="49">
        <f t="shared" si="26"/>
        <v>1562</v>
      </c>
      <c r="B1564" s="36" t="s">
        <v>4</v>
      </c>
      <c r="C1564" s="36" t="s">
        <v>7588</v>
      </c>
      <c r="D1564" s="9" t="s">
        <v>6946</v>
      </c>
      <c r="E1564" s="9" t="s">
        <v>7366</v>
      </c>
      <c r="F1564" s="9" t="s">
        <v>6945</v>
      </c>
      <c r="G1564" s="36" t="s">
        <v>14</v>
      </c>
      <c r="H1564" s="36" t="str">
        <f>IFERROR(VLOOKUP(Table2[[#This Row], [Ticket]],Okey!A:B,2,0),"")</f>
        <v/>
      </c>
      <c r="I1564" s="36"/>
      <c r="J1564" s="36" t="str">
        <f>VLOOKUP(Table2[[#This Row], [Author]],People!A:B,2,0)</f>
        <v>HC</v>
      </c>
      <c r="M1564" s="36" t="s">
        <v>1613</v>
      </c>
    </row>
    <row r="1565" spans="1:13" x14ac:dyDescent="0.25">
      <c r="A1565" s="49">
        <f t="shared" si="26"/>
        <v>1563</v>
      </c>
      <c r="B1565" s="36" t="s">
        <v>4</v>
      </c>
      <c r="C1565" s="36" t="s">
        <v>7588</v>
      </c>
      <c r="D1565" s="9" t="s">
        <v>6947</v>
      </c>
      <c r="E1565" s="9" t="s">
        <v>7367</v>
      </c>
      <c r="F1565" s="9" t="s">
        <v>6945</v>
      </c>
      <c r="G1565" s="36" t="s">
        <v>14</v>
      </c>
      <c r="H1565" s="36" t="str">
        <f>IFERROR(VLOOKUP(Table2[[#This Row], [Ticket]],Okey!A:B,2,0),"")</f>
        <v/>
      </c>
      <c r="I1565" s="36"/>
      <c r="J1565" s="36" t="str">
        <f>VLOOKUP(Table2[[#This Row], [Author]],People!A:B,2,0)</f>
        <v>HC</v>
      </c>
      <c r="M1565" s="36" t="s">
        <v>1613</v>
      </c>
    </row>
    <row r="1566" spans="1:13" x14ac:dyDescent="0.25">
      <c r="A1566" s="49">
        <f t="shared" si="26"/>
        <v>1564</v>
      </c>
      <c r="B1566" s="36" t="s">
        <v>4</v>
      </c>
      <c r="C1566" s="36" t="s">
        <v>7588</v>
      </c>
      <c r="D1566" s="9" t="s">
        <v>6948</v>
      </c>
      <c r="E1566" s="9" t="s">
        <v>7368</v>
      </c>
      <c r="F1566" s="9" t="s">
        <v>6716</v>
      </c>
      <c r="G1566" s="36" t="s">
        <v>14</v>
      </c>
      <c r="H1566" s="36" t="str">
        <f>IFERROR(VLOOKUP(Table2[[#This Row], [Ticket]],Okey!A:B,2,0),"")</f>
        <v/>
      </c>
      <c r="I1566" s="36"/>
      <c r="J1566" s="36" t="str">
        <f>VLOOKUP(Table2[[#This Row], [Author]],People!A:B,2,0)</f>
        <v>HC</v>
      </c>
      <c r="M1566" s="36" t="s">
        <v>1613</v>
      </c>
    </row>
    <row r="1567" spans="1:13" x14ac:dyDescent="0.25">
      <c r="A1567" s="49">
        <f t="shared" si="26"/>
        <v>1565</v>
      </c>
      <c r="B1567" s="36" t="s">
        <v>4</v>
      </c>
      <c r="C1567" s="36" t="s">
        <v>7588</v>
      </c>
      <c r="D1567" s="9" t="s">
        <v>6949</v>
      </c>
      <c r="E1567" s="9" t="s">
        <v>7369</v>
      </c>
      <c r="F1567" s="9" t="s">
        <v>6948</v>
      </c>
      <c r="G1567" s="36" t="s">
        <v>14</v>
      </c>
      <c r="H1567" s="36" t="str">
        <f>IFERROR(VLOOKUP(Table2[[#This Row], [Ticket]],Okey!A:B,2,0),"")</f>
        <v/>
      </c>
      <c r="I1567" s="36"/>
      <c r="J1567" s="36" t="str">
        <f>VLOOKUP(Table2[[#This Row], [Author]],People!A:B,2,0)</f>
        <v>HC</v>
      </c>
      <c r="M1567" s="36" t="s">
        <v>1613</v>
      </c>
    </row>
    <row r="1568" spans="1:13" x14ac:dyDescent="0.25">
      <c r="A1568" s="49">
        <f t="shared" si="26"/>
        <v>1566</v>
      </c>
      <c r="B1568" s="36" t="s">
        <v>4</v>
      </c>
      <c r="C1568" s="36" t="s">
        <v>7588</v>
      </c>
      <c r="D1568" s="9" t="s">
        <v>6950</v>
      </c>
      <c r="E1568" s="9" t="s">
        <v>7370</v>
      </c>
      <c r="F1568" s="9" t="s">
        <v>6948</v>
      </c>
      <c r="G1568" s="36" t="s">
        <v>14</v>
      </c>
      <c r="H1568" s="36" t="str">
        <f>IFERROR(VLOOKUP(Table2[[#This Row], [Ticket]],Okey!A:B,2,0),"")</f>
        <v/>
      </c>
      <c r="I1568" s="36"/>
      <c r="J1568" s="36" t="str">
        <f>VLOOKUP(Table2[[#This Row], [Author]],People!A:B,2,0)</f>
        <v>HC</v>
      </c>
      <c r="M1568" s="36" t="s">
        <v>1613</v>
      </c>
    </row>
    <row r="1569" spans="1:13" x14ac:dyDescent="0.25">
      <c r="A1569" s="49">
        <f t="shared" si="26"/>
        <v>1567</v>
      </c>
      <c r="B1569" s="36" t="s">
        <v>4</v>
      </c>
      <c r="C1569" s="36" t="s">
        <v>7588</v>
      </c>
      <c r="D1569" s="9" t="s">
        <v>6951</v>
      </c>
      <c r="E1569" s="9" t="s">
        <v>7371</v>
      </c>
      <c r="F1569" s="9" t="s">
        <v>6948</v>
      </c>
      <c r="G1569" s="36" t="s">
        <v>14</v>
      </c>
      <c r="H1569" s="36" t="str">
        <f>IFERROR(VLOOKUP(Table2[[#This Row], [Ticket]],Okey!A:B,2,0),"")</f>
        <v/>
      </c>
      <c r="I1569" s="36"/>
      <c r="J1569" s="36" t="str">
        <f>VLOOKUP(Table2[[#This Row], [Author]],People!A:B,2,0)</f>
        <v>HC</v>
      </c>
      <c r="M1569" s="36" t="s">
        <v>1613</v>
      </c>
    </row>
    <row r="1570" spans="1:13" x14ac:dyDescent="0.25">
      <c r="A1570" s="49">
        <f t="shared" si="26"/>
        <v>1568</v>
      </c>
      <c r="B1570" s="36" t="s">
        <v>4</v>
      </c>
      <c r="C1570" s="36" t="s">
        <v>7588</v>
      </c>
      <c r="D1570" s="9" t="s">
        <v>6952</v>
      </c>
      <c r="E1570" s="9" t="s">
        <v>7372</v>
      </c>
      <c r="F1570" s="9" t="s">
        <v>6951</v>
      </c>
      <c r="G1570" s="36" t="s">
        <v>14</v>
      </c>
      <c r="H1570" s="36" t="str">
        <f>IFERROR(VLOOKUP(Table2[[#This Row], [Ticket]],Okey!A:B,2,0),"")</f>
        <v/>
      </c>
      <c r="I1570" s="36"/>
      <c r="J1570" s="36" t="str">
        <f>VLOOKUP(Table2[[#This Row], [Author]],People!A:B,2,0)</f>
        <v>HC</v>
      </c>
      <c r="M1570" s="36" t="s">
        <v>1613</v>
      </c>
    </row>
    <row r="1571" spans="1:13" x14ac:dyDescent="0.25">
      <c r="A1571" s="49">
        <f t="shared" si="26"/>
        <v>1569</v>
      </c>
      <c r="B1571" s="36" t="s">
        <v>4</v>
      </c>
      <c r="C1571" s="36" t="s">
        <v>7588</v>
      </c>
      <c r="D1571" s="9" t="s">
        <v>6953</v>
      </c>
      <c r="E1571" s="9" t="s">
        <v>7373</v>
      </c>
      <c r="F1571" s="9" t="s">
        <v>6951</v>
      </c>
      <c r="G1571" s="36" t="s">
        <v>14</v>
      </c>
      <c r="H1571" s="36" t="str">
        <f>IFERROR(VLOOKUP(Table2[[#This Row], [Ticket]],Okey!A:B,2,0),"")</f>
        <v/>
      </c>
      <c r="I1571" s="36"/>
      <c r="J1571" s="36" t="str">
        <f>VLOOKUP(Table2[[#This Row], [Author]],People!A:B,2,0)</f>
        <v>HC</v>
      </c>
      <c r="M1571" s="36" t="s">
        <v>1613</v>
      </c>
    </row>
    <row r="1572" spans="1:13" x14ac:dyDescent="0.25">
      <c r="A1572" s="49">
        <f t="shared" si="26"/>
        <v>1570</v>
      </c>
      <c r="B1572" s="36" t="s">
        <v>4</v>
      </c>
      <c r="C1572" s="36" t="s">
        <v>7588</v>
      </c>
      <c r="D1572" s="9" t="s">
        <v>6954</v>
      </c>
      <c r="E1572" s="9" t="s">
        <v>7374</v>
      </c>
      <c r="F1572" s="9" t="s">
        <v>6948</v>
      </c>
      <c r="G1572" s="36" t="s">
        <v>14</v>
      </c>
      <c r="H1572" s="36" t="str">
        <f>IFERROR(VLOOKUP(Table2[[#This Row], [Ticket]],Okey!A:B,2,0),"")</f>
        <v/>
      </c>
      <c r="I1572" s="36"/>
      <c r="J1572" s="36" t="str">
        <f>VLOOKUP(Table2[[#This Row], [Author]],People!A:B,2,0)</f>
        <v>HC</v>
      </c>
      <c r="M1572" s="36" t="s">
        <v>1613</v>
      </c>
    </row>
    <row r="1573" spans="1:13" x14ac:dyDescent="0.25">
      <c r="A1573" s="49">
        <f t="shared" si="26"/>
        <v>1571</v>
      </c>
      <c r="B1573" s="36" t="s">
        <v>4</v>
      </c>
      <c r="C1573" s="36" t="s">
        <v>7588</v>
      </c>
      <c r="D1573" s="9" t="s">
        <v>6955</v>
      </c>
      <c r="E1573" s="9" t="s">
        <v>7375</v>
      </c>
      <c r="F1573" s="9" t="s">
        <v>6954</v>
      </c>
      <c r="G1573" s="36" t="s">
        <v>14</v>
      </c>
      <c r="H1573" s="36" t="str">
        <f>IFERROR(VLOOKUP(Table2[[#This Row], [Ticket]],Okey!A:B,2,0),"")</f>
        <v/>
      </c>
      <c r="I1573" s="36"/>
      <c r="J1573" s="36" t="str">
        <f>VLOOKUP(Table2[[#This Row], [Author]],People!A:B,2,0)</f>
        <v>HC</v>
      </c>
      <c r="M1573" s="36" t="s">
        <v>1613</v>
      </c>
    </row>
    <row r="1574" spans="1:13" x14ac:dyDescent="0.25">
      <c r="A1574" s="49">
        <f t="shared" si="26"/>
        <v>1572</v>
      </c>
      <c r="B1574" s="36" t="s">
        <v>4</v>
      </c>
      <c r="C1574" s="36" t="s">
        <v>7588</v>
      </c>
      <c r="D1574" s="9" t="s">
        <v>6956</v>
      </c>
      <c r="E1574" s="9" t="s">
        <v>7376</v>
      </c>
      <c r="F1574" s="9" t="s">
        <v>6954</v>
      </c>
      <c r="G1574" s="36" t="s">
        <v>14</v>
      </c>
      <c r="H1574" s="36" t="str">
        <f>IFERROR(VLOOKUP(Table2[[#This Row], [Ticket]],Okey!A:B,2,0),"")</f>
        <v/>
      </c>
      <c r="I1574" s="36"/>
      <c r="J1574" s="36" t="str">
        <f>VLOOKUP(Table2[[#This Row], [Author]],People!A:B,2,0)</f>
        <v>HC</v>
      </c>
      <c r="M1574" s="36" t="s">
        <v>1613</v>
      </c>
    </row>
    <row r="1575" spans="1:13" x14ac:dyDescent="0.25">
      <c r="A1575" s="49">
        <f t="shared" si="26"/>
        <v>1573</v>
      </c>
      <c r="B1575" s="36" t="s">
        <v>4</v>
      </c>
      <c r="C1575" s="36" t="s">
        <v>7588</v>
      </c>
      <c r="D1575" s="9" t="s">
        <v>6957</v>
      </c>
      <c r="E1575" s="9" t="s">
        <v>7377</v>
      </c>
      <c r="F1575" s="9" t="s">
        <v>6954</v>
      </c>
      <c r="G1575" s="36" t="s">
        <v>14</v>
      </c>
      <c r="H1575" s="36" t="str">
        <f>IFERROR(VLOOKUP(Table2[[#This Row], [Ticket]],Okey!A:B,2,0),"")</f>
        <v/>
      </c>
      <c r="I1575" s="36"/>
      <c r="J1575" s="36" t="str">
        <f>VLOOKUP(Table2[[#This Row], [Author]],People!A:B,2,0)</f>
        <v>HC</v>
      </c>
      <c r="M1575" s="36" t="s">
        <v>1613</v>
      </c>
    </row>
    <row r="1576" spans="1:13" x14ac:dyDescent="0.25">
      <c r="A1576" s="49">
        <f t="shared" si="26"/>
        <v>1574</v>
      </c>
      <c r="B1576" s="36" t="s">
        <v>4</v>
      </c>
      <c r="C1576" s="36" t="s">
        <v>7588</v>
      </c>
      <c r="D1576" s="9" t="s">
        <v>6958</v>
      </c>
      <c r="E1576" s="9" t="s">
        <v>7378</v>
      </c>
      <c r="F1576" s="9" t="s">
        <v>6954</v>
      </c>
      <c r="G1576" s="36" t="s">
        <v>14</v>
      </c>
      <c r="H1576" s="36" t="str">
        <f>IFERROR(VLOOKUP(Table2[[#This Row], [Ticket]],Okey!A:B,2,0),"")</f>
        <v/>
      </c>
      <c r="I1576" s="36"/>
      <c r="J1576" s="36" t="str">
        <f>VLOOKUP(Table2[[#This Row], [Author]],People!A:B,2,0)</f>
        <v>HC</v>
      </c>
      <c r="M1576" s="36" t="s">
        <v>1613</v>
      </c>
    </row>
    <row r="1577" spans="1:13" x14ac:dyDescent="0.25">
      <c r="A1577" s="49">
        <f t="shared" si="26"/>
        <v>1575</v>
      </c>
      <c r="B1577" s="36" t="s">
        <v>4</v>
      </c>
      <c r="C1577" s="36" t="s">
        <v>7588</v>
      </c>
      <c r="D1577" s="9" t="s">
        <v>6959</v>
      </c>
      <c r="E1577" s="9" t="s">
        <v>7379</v>
      </c>
      <c r="F1577" s="9" t="s">
        <v>6954</v>
      </c>
      <c r="G1577" s="36" t="s">
        <v>14</v>
      </c>
      <c r="H1577" s="36" t="str">
        <f>IFERROR(VLOOKUP(Table2[[#This Row], [Ticket]],Okey!A:B,2,0),"")</f>
        <v/>
      </c>
      <c r="I1577" s="36"/>
      <c r="J1577" s="36" t="str">
        <f>VLOOKUP(Table2[[#This Row], [Author]],People!A:B,2,0)</f>
        <v>HC</v>
      </c>
      <c r="M1577" s="36" t="s">
        <v>1613</v>
      </c>
    </row>
    <row r="1578" spans="1:13" x14ac:dyDescent="0.25">
      <c r="A1578" s="49">
        <f t="shared" si="26"/>
        <v>1576</v>
      </c>
      <c r="B1578" s="36" t="s">
        <v>4</v>
      </c>
      <c r="C1578" s="36" t="s">
        <v>7588</v>
      </c>
      <c r="D1578" s="9" t="s">
        <v>6960</v>
      </c>
      <c r="E1578" s="9" t="s">
        <v>7380</v>
      </c>
      <c r="F1578" s="9" t="s">
        <v>6718</v>
      </c>
      <c r="G1578" s="36" t="s">
        <v>14</v>
      </c>
      <c r="H1578" s="36" t="str">
        <f>IFERROR(VLOOKUP(Table2[[#This Row], [Ticket]],Okey!A:B,2,0),"")</f>
        <v/>
      </c>
      <c r="I1578" s="36"/>
      <c r="J1578" s="36" t="str">
        <f>VLOOKUP(Table2[[#This Row], [Author]],People!A:B,2,0)</f>
        <v>HC</v>
      </c>
      <c r="M1578" s="36" t="s">
        <v>1613</v>
      </c>
    </row>
    <row r="1579" spans="1:13" x14ac:dyDescent="0.25">
      <c r="A1579" s="49">
        <f t="shared" si="26"/>
        <v>1577</v>
      </c>
      <c r="B1579" s="36" t="s">
        <v>4</v>
      </c>
      <c r="C1579" s="36" t="s">
        <v>7588</v>
      </c>
      <c r="D1579" s="9" t="s">
        <v>6961</v>
      </c>
      <c r="E1579" s="9" t="s">
        <v>7381</v>
      </c>
      <c r="F1579" s="9" t="s">
        <v>6960</v>
      </c>
      <c r="G1579" s="36" t="s">
        <v>14</v>
      </c>
      <c r="H1579" s="36" t="str">
        <f>IFERROR(VLOOKUP(Table2[[#This Row], [Ticket]],Okey!A:B,2,0),"")</f>
        <v/>
      </c>
      <c r="I1579" s="36"/>
      <c r="J1579" s="36" t="str">
        <f>VLOOKUP(Table2[[#This Row], [Author]],People!A:B,2,0)</f>
        <v>HC</v>
      </c>
      <c r="M1579" s="36" t="s">
        <v>1613</v>
      </c>
    </row>
    <row r="1580" spans="1:13" x14ac:dyDescent="0.25">
      <c r="A1580" s="49">
        <f t="shared" si="26"/>
        <v>1578</v>
      </c>
      <c r="B1580" s="36" t="s">
        <v>4</v>
      </c>
      <c r="C1580" s="36" t="s">
        <v>7588</v>
      </c>
      <c r="D1580" s="9" t="s">
        <v>6962</v>
      </c>
      <c r="E1580" s="9" t="s">
        <v>7382</v>
      </c>
      <c r="F1580" s="9" t="s">
        <v>6960</v>
      </c>
      <c r="G1580" s="36" t="s">
        <v>14</v>
      </c>
      <c r="H1580" s="36" t="str">
        <f>IFERROR(VLOOKUP(Table2[[#This Row], [Ticket]],Okey!A:B,2,0),"")</f>
        <v/>
      </c>
      <c r="I1580" s="36"/>
      <c r="J1580" s="36" t="str">
        <f>VLOOKUP(Table2[[#This Row], [Author]],People!A:B,2,0)</f>
        <v>HC</v>
      </c>
      <c r="M1580" s="36" t="s">
        <v>1613</v>
      </c>
    </row>
    <row r="1581" spans="1:13" x14ac:dyDescent="0.25">
      <c r="A1581" s="49">
        <f t="shared" si="26"/>
        <v>1579</v>
      </c>
      <c r="B1581" s="36" t="s">
        <v>4</v>
      </c>
      <c r="C1581" s="36" t="s">
        <v>7588</v>
      </c>
      <c r="D1581" s="9" t="s">
        <v>6963</v>
      </c>
      <c r="E1581" s="9" t="s">
        <v>7383</v>
      </c>
      <c r="F1581" s="9" t="s">
        <v>6962</v>
      </c>
      <c r="G1581" s="36" t="s">
        <v>14</v>
      </c>
      <c r="H1581" s="36" t="str">
        <f>IFERROR(VLOOKUP(Table2[[#This Row], [Ticket]],Okey!A:B,2,0),"")</f>
        <v/>
      </c>
      <c r="I1581" s="36"/>
      <c r="J1581" s="36" t="str">
        <f>VLOOKUP(Table2[[#This Row], [Author]],People!A:B,2,0)</f>
        <v>HC</v>
      </c>
      <c r="M1581" s="36" t="s">
        <v>1613</v>
      </c>
    </row>
    <row r="1582" spans="1:13" x14ac:dyDescent="0.25">
      <c r="A1582" s="49">
        <f t="shared" si="26"/>
        <v>1580</v>
      </c>
      <c r="B1582" s="36" t="s">
        <v>4</v>
      </c>
      <c r="C1582" s="36" t="s">
        <v>7588</v>
      </c>
      <c r="D1582" s="9" t="s">
        <v>6964</v>
      </c>
      <c r="E1582" s="9" t="s">
        <v>7384</v>
      </c>
      <c r="F1582" s="9" t="s">
        <v>6962</v>
      </c>
      <c r="G1582" s="36" t="s">
        <v>14</v>
      </c>
      <c r="H1582" s="36" t="str">
        <f>IFERROR(VLOOKUP(Table2[[#This Row], [Ticket]],Okey!A:B,2,0),"")</f>
        <v/>
      </c>
      <c r="I1582" s="36"/>
      <c r="J1582" s="36" t="str">
        <f>VLOOKUP(Table2[[#This Row], [Author]],People!A:B,2,0)</f>
        <v>HC</v>
      </c>
      <c r="M1582" s="36" t="s">
        <v>1613</v>
      </c>
    </row>
    <row r="1583" spans="1:13" x14ac:dyDescent="0.25">
      <c r="A1583" s="49">
        <f t="shared" si="26"/>
        <v>1581</v>
      </c>
      <c r="B1583" s="36" t="s">
        <v>4</v>
      </c>
      <c r="C1583" s="36" t="s">
        <v>7588</v>
      </c>
      <c r="D1583" s="9" t="s">
        <v>6965</v>
      </c>
      <c r="E1583" s="9" t="s">
        <v>7385</v>
      </c>
      <c r="F1583" s="9" t="s">
        <v>6960</v>
      </c>
      <c r="G1583" s="36" t="s">
        <v>14</v>
      </c>
      <c r="H1583" s="36" t="str">
        <f>IFERROR(VLOOKUP(Table2[[#This Row], [Ticket]],Okey!A:B,2,0),"")</f>
        <v/>
      </c>
      <c r="I1583" s="36"/>
      <c r="J1583" s="36" t="str">
        <f>VLOOKUP(Table2[[#This Row], [Author]],People!A:B,2,0)</f>
        <v>HC</v>
      </c>
      <c r="M1583" s="36" t="s">
        <v>1613</v>
      </c>
    </row>
    <row r="1584" spans="1:13" x14ac:dyDescent="0.25">
      <c r="A1584" s="49">
        <f t="shared" si="26"/>
        <v>1582</v>
      </c>
      <c r="B1584" s="36" t="s">
        <v>4</v>
      </c>
      <c r="C1584" s="36" t="s">
        <v>7588</v>
      </c>
      <c r="D1584" s="9" t="s">
        <v>6966</v>
      </c>
      <c r="E1584" s="9" t="s">
        <v>7386</v>
      </c>
      <c r="F1584" s="9" t="s">
        <v>6965</v>
      </c>
      <c r="G1584" s="36" t="s">
        <v>14</v>
      </c>
      <c r="H1584" s="36" t="str">
        <f>IFERROR(VLOOKUP(Table2[[#This Row], [Ticket]],Okey!A:B,2,0),"")</f>
        <v/>
      </c>
      <c r="I1584" s="36"/>
      <c r="J1584" s="36" t="str">
        <f>VLOOKUP(Table2[[#This Row], [Author]],People!A:B,2,0)</f>
        <v>HC</v>
      </c>
      <c r="M1584" s="36" t="s">
        <v>1613</v>
      </c>
    </row>
    <row r="1585" spans="1:13" x14ac:dyDescent="0.25">
      <c r="A1585" s="49">
        <f t="shared" si="26"/>
        <v>1583</v>
      </c>
      <c r="B1585" s="36" t="s">
        <v>4</v>
      </c>
      <c r="C1585" s="36" t="s">
        <v>7588</v>
      </c>
      <c r="D1585" s="9" t="s">
        <v>6967</v>
      </c>
      <c r="E1585" s="9" t="s">
        <v>7387</v>
      </c>
      <c r="F1585" s="9" t="s">
        <v>6965</v>
      </c>
      <c r="G1585" s="36" t="s">
        <v>14</v>
      </c>
      <c r="H1585" s="36" t="str">
        <f>IFERROR(VLOOKUP(Table2[[#This Row], [Ticket]],Okey!A:B,2,0),"")</f>
        <v/>
      </c>
      <c r="I1585" s="36"/>
      <c r="J1585" s="36" t="str">
        <f>VLOOKUP(Table2[[#This Row], [Author]],People!A:B,2,0)</f>
        <v>HC</v>
      </c>
      <c r="M1585" s="36" t="s">
        <v>1613</v>
      </c>
    </row>
    <row r="1586" spans="1:13" x14ac:dyDescent="0.25">
      <c r="A1586" s="49">
        <f t="shared" si="26"/>
        <v>1584</v>
      </c>
      <c r="B1586" s="36" t="s">
        <v>4</v>
      </c>
      <c r="C1586" s="36" t="s">
        <v>7588</v>
      </c>
      <c r="D1586" s="9" t="s">
        <v>6968</v>
      </c>
      <c r="E1586" s="9" t="s">
        <v>7388</v>
      </c>
      <c r="F1586" s="9" t="s">
        <v>6716</v>
      </c>
      <c r="G1586" s="36" t="s">
        <v>14</v>
      </c>
      <c r="H1586" s="36" t="str">
        <f>IFERROR(VLOOKUP(Table2[[#This Row], [Ticket]],Okey!A:B,2,0),"")</f>
        <v/>
      </c>
      <c r="I1586" s="36"/>
      <c r="J1586" s="36" t="str">
        <f>VLOOKUP(Table2[[#This Row], [Author]],People!A:B,2,0)</f>
        <v>HC</v>
      </c>
      <c r="M1586" s="36" t="s">
        <v>1613</v>
      </c>
    </row>
    <row r="1587" spans="1:13" x14ac:dyDescent="0.25">
      <c r="A1587" s="49">
        <f t="shared" si="26"/>
        <v>1585</v>
      </c>
      <c r="B1587" s="36" t="s">
        <v>4</v>
      </c>
      <c r="C1587" s="36" t="s">
        <v>7588</v>
      </c>
      <c r="D1587" s="9" t="s">
        <v>6969</v>
      </c>
      <c r="E1587" s="9" t="s">
        <v>7389</v>
      </c>
      <c r="F1587" s="9" t="s">
        <v>6968</v>
      </c>
      <c r="G1587" s="36" t="s">
        <v>14</v>
      </c>
      <c r="H1587" s="36" t="str">
        <f>IFERROR(VLOOKUP(Table2[[#This Row], [Ticket]],Okey!A:B,2,0),"")</f>
        <v/>
      </c>
      <c r="I1587" s="36"/>
      <c r="J1587" s="36" t="str">
        <f>VLOOKUP(Table2[[#This Row], [Author]],People!A:B,2,0)</f>
        <v>HC</v>
      </c>
      <c r="M1587" s="36" t="s">
        <v>1613</v>
      </c>
    </row>
    <row r="1588" spans="1:13" x14ac:dyDescent="0.25">
      <c r="A1588" s="49">
        <f t="shared" si="26"/>
        <v>1586</v>
      </c>
      <c r="B1588" s="36" t="s">
        <v>4</v>
      </c>
      <c r="C1588" s="36" t="s">
        <v>7588</v>
      </c>
      <c r="D1588" s="9" t="s">
        <v>6970</v>
      </c>
      <c r="E1588" s="9" t="s">
        <v>7390</v>
      </c>
      <c r="F1588" s="9" t="s">
        <v>6968</v>
      </c>
      <c r="G1588" s="36" t="s">
        <v>14</v>
      </c>
      <c r="H1588" s="36" t="str">
        <f>IFERROR(VLOOKUP(Table2[[#This Row], [Ticket]],Okey!A:B,2,0),"")</f>
        <v/>
      </c>
      <c r="I1588" s="36"/>
      <c r="J1588" s="36" t="str">
        <f>VLOOKUP(Table2[[#This Row], [Author]],People!A:B,2,0)</f>
        <v>HC</v>
      </c>
      <c r="M1588" s="36" t="s">
        <v>1613</v>
      </c>
    </row>
    <row r="1589" spans="1:13" x14ac:dyDescent="0.25">
      <c r="A1589" s="49">
        <f t="shared" si="26"/>
        <v>1587</v>
      </c>
      <c r="B1589" s="36" t="s">
        <v>4</v>
      </c>
      <c r="C1589" s="36" t="s">
        <v>7588</v>
      </c>
      <c r="D1589" s="9" t="s">
        <v>6971</v>
      </c>
      <c r="E1589" s="9" t="s">
        <v>7391</v>
      </c>
      <c r="F1589" s="9" t="s">
        <v>6968</v>
      </c>
      <c r="G1589" s="36" t="s">
        <v>14</v>
      </c>
      <c r="H1589" s="36" t="str">
        <f>IFERROR(VLOOKUP(Table2[[#This Row], [Ticket]],Okey!A:B,2,0),"")</f>
        <v/>
      </c>
      <c r="I1589" s="36"/>
      <c r="J1589" s="36" t="str">
        <f>VLOOKUP(Table2[[#This Row], [Author]],People!A:B,2,0)</f>
        <v>HC</v>
      </c>
      <c r="M1589" s="36" t="s">
        <v>1613</v>
      </c>
    </row>
    <row r="1590" spans="1:13" x14ac:dyDescent="0.25">
      <c r="A1590" s="49">
        <f t="shared" si="26"/>
        <v>1588</v>
      </c>
      <c r="B1590" s="36" t="s">
        <v>4</v>
      </c>
      <c r="C1590" s="36" t="s">
        <v>7588</v>
      </c>
      <c r="D1590" s="9" t="s">
        <v>6972</v>
      </c>
      <c r="E1590" s="9" t="s">
        <v>7392</v>
      </c>
      <c r="F1590" s="9" t="s">
        <v>6971</v>
      </c>
      <c r="G1590" s="36" t="s">
        <v>14</v>
      </c>
      <c r="H1590" s="36" t="str">
        <f>IFERROR(VLOOKUP(Table2[[#This Row], [Ticket]],Okey!A:B,2,0),"")</f>
        <v/>
      </c>
      <c r="I1590" s="36"/>
      <c r="J1590" s="36" t="str">
        <f>VLOOKUP(Table2[[#This Row], [Author]],People!A:B,2,0)</f>
        <v>HC</v>
      </c>
      <c r="M1590" s="36" t="s">
        <v>1613</v>
      </c>
    </row>
    <row r="1591" spans="1:13" x14ac:dyDescent="0.25">
      <c r="A1591" s="49">
        <f t="shared" si="26"/>
        <v>1589</v>
      </c>
      <c r="B1591" s="36" t="s">
        <v>4</v>
      </c>
      <c r="C1591" s="36" t="s">
        <v>7588</v>
      </c>
      <c r="D1591" s="9" t="s">
        <v>6973</v>
      </c>
      <c r="E1591" s="9" t="s">
        <v>7393</v>
      </c>
      <c r="F1591" s="9" t="s">
        <v>6971</v>
      </c>
      <c r="G1591" s="36" t="s">
        <v>14</v>
      </c>
      <c r="H1591" s="36" t="str">
        <f>IFERROR(VLOOKUP(Table2[[#This Row], [Ticket]],Okey!A:B,2,0),"")</f>
        <v/>
      </c>
      <c r="I1591" s="36"/>
      <c r="J1591" s="36" t="str">
        <f>VLOOKUP(Table2[[#This Row], [Author]],People!A:B,2,0)</f>
        <v>HC</v>
      </c>
      <c r="M1591" s="36" t="s">
        <v>1613</v>
      </c>
    </row>
    <row r="1592" spans="1:13" x14ac:dyDescent="0.25">
      <c r="A1592" s="49">
        <f t="shared" si="26"/>
        <v>1590</v>
      </c>
      <c r="B1592" s="36" t="s">
        <v>4</v>
      </c>
      <c r="C1592" s="36" t="s">
        <v>7588</v>
      </c>
      <c r="D1592" s="9" t="s">
        <v>6974</v>
      </c>
      <c r="E1592" s="9" t="s">
        <v>7394</v>
      </c>
      <c r="F1592" s="9" t="s">
        <v>6968</v>
      </c>
      <c r="G1592" s="36" t="s">
        <v>14</v>
      </c>
      <c r="H1592" s="36" t="str">
        <f>IFERROR(VLOOKUP(Table2[[#This Row], [Ticket]],Okey!A:B,2,0),"")</f>
        <v/>
      </c>
      <c r="I1592" s="36"/>
      <c r="J1592" s="36" t="str">
        <f>VLOOKUP(Table2[[#This Row], [Author]],People!A:B,2,0)</f>
        <v>HC</v>
      </c>
      <c r="M1592" s="36" t="s">
        <v>1613</v>
      </c>
    </row>
    <row r="1593" spans="1:13" x14ac:dyDescent="0.25">
      <c r="A1593" s="49">
        <f t="shared" si="26"/>
        <v>1591</v>
      </c>
      <c r="B1593" s="36" t="s">
        <v>4</v>
      </c>
      <c r="C1593" s="36" t="s">
        <v>7588</v>
      </c>
      <c r="D1593" s="9" t="s">
        <v>6975</v>
      </c>
      <c r="E1593" s="9" t="s">
        <v>7395</v>
      </c>
      <c r="F1593" s="9" t="s">
        <v>6974</v>
      </c>
      <c r="G1593" s="36" t="s">
        <v>14</v>
      </c>
      <c r="H1593" s="36" t="str">
        <f>IFERROR(VLOOKUP(Table2[[#This Row], [Ticket]],Okey!A:B,2,0),"")</f>
        <v/>
      </c>
      <c r="I1593" s="36"/>
      <c r="J1593" s="36" t="str">
        <f>VLOOKUP(Table2[[#This Row], [Author]],People!A:B,2,0)</f>
        <v>HC</v>
      </c>
      <c r="M1593" s="36" t="s">
        <v>1613</v>
      </c>
    </row>
    <row r="1594" spans="1:13" x14ac:dyDescent="0.25">
      <c r="A1594" s="49">
        <f t="shared" si="26"/>
        <v>1592</v>
      </c>
      <c r="B1594" s="36" t="s">
        <v>4</v>
      </c>
      <c r="C1594" s="36" t="s">
        <v>7588</v>
      </c>
      <c r="D1594" s="9" t="s">
        <v>6976</v>
      </c>
      <c r="E1594" s="9" t="s">
        <v>7396</v>
      </c>
      <c r="F1594" s="9" t="s">
        <v>6974</v>
      </c>
      <c r="G1594" s="36" t="s">
        <v>14</v>
      </c>
      <c r="H1594" s="36" t="str">
        <f>IFERROR(VLOOKUP(Table2[[#This Row], [Ticket]],Okey!A:B,2,0),"")</f>
        <v/>
      </c>
      <c r="I1594" s="36"/>
      <c r="J1594" s="36" t="str">
        <f>VLOOKUP(Table2[[#This Row], [Author]],People!A:B,2,0)</f>
        <v>HC</v>
      </c>
      <c r="M1594" s="36" t="s">
        <v>1613</v>
      </c>
    </row>
    <row r="1595" spans="1:13" x14ac:dyDescent="0.25">
      <c r="A1595" s="49">
        <f t="shared" si="26"/>
        <v>1593</v>
      </c>
      <c r="B1595" s="36" t="s">
        <v>4</v>
      </c>
      <c r="C1595" s="36" t="s">
        <v>7588</v>
      </c>
      <c r="D1595" s="9" t="s">
        <v>6977</v>
      </c>
      <c r="E1595" s="9" t="s">
        <v>7397</v>
      </c>
      <c r="F1595" s="9" t="s">
        <v>6974</v>
      </c>
      <c r="G1595" s="36" t="s">
        <v>14</v>
      </c>
      <c r="H1595" s="36" t="str">
        <f>IFERROR(VLOOKUP(Table2[[#This Row], [Ticket]],Okey!A:B,2,0),"")</f>
        <v/>
      </c>
      <c r="I1595" s="36"/>
      <c r="J1595" s="36" t="str">
        <f>VLOOKUP(Table2[[#This Row], [Author]],People!A:B,2,0)</f>
        <v>HC</v>
      </c>
      <c r="M1595" s="36" t="s">
        <v>1613</v>
      </c>
    </row>
    <row r="1596" spans="1:13" x14ac:dyDescent="0.25">
      <c r="A1596" s="49">
        <f t="shared" si="26"/>
        <v>1594</v>
      </c>
      <c r="B1596" s="36" t="s">
        <v>4</v>
      </c>
      <c r="C1596" s="36" t="s">
        <v>7588</v>
      </c>
      <c r="D1596" s="9" t="s">
        <v>6978</v>
      </c>
      <c r="E1596" s="9" t="s">
        <v>7398</v>
      </c>
      <c r="F1596" s="9" t="s">
        <v>6974</v>
      </c>
      <c r="G1596" s="36" t="s">
        <v>14</v>
      </c>
      <c r="H1596" s="36" t="str">
        <f>IFERROR(VLOOKUP(Table2[[#This Row], [Ticket]],Okey!A:B,2,0),"")</f>
        <v/>
      </c>
      <c r="I1596" s="36"/>
      <c r="J1596" s="36" t="str">
        <f>VLOOKUP(Table2[[#This Row], [Author]],People!A:B,2,0)</f>
        <v>HC</v>
      </c>
      <c r="M1596" s="36" t="s">
        <v>1613</v>
      </c>
    </row>
    <row r="1597" spans="1:13" x14ac:dyDescent="0.25">
      <c r="A1597" s="49">
        <f t="shared" si="26"/>
        <v>1595</v>
      </c>
      <c r="B1597" s="36" t="s">
        <v>4</v>
      </c>
      <c r="C1597" s="36" t="s">
        <v>7588</v>
      </c>
      <c r="D1597" s="9" t="s">
        <v>6979</v>
      </c>
      <c r="E1597" s="9" t="s">
        <v>7399</v>
      </c>
      <c r="F1597" s="9" t="s">
        <v>6974</v>
      </c>
      <c r="G1597" s="36" t="s">
        <v>14</v>
      </c>
      <c r="H1597" s="36" t="str">
        <f>IFERROR(VLOOKUP(Table2[[#This Row], [Ticket]],Okey!A:B,2,0),"")</f>
        <v/>
      </c>
      <c r="I1597" s="36"/>
      <c r="J1597" s="36" t="str">
        <f>VLOOKUP(Table2[[#This Row], [Author]],People!A:B,2,0)</f>
        <v>HC</v>
      </c>
      <c r="M1597" s="36" t="s">
        <v>1613</v>
      </c>
    </row>
    <row r="1598" spans="1:13" x14ac:dyDescent="0.25">
      <c r="A1598" s="49">
        <f t="shared" si="26"/>
        <v>1596</v>
      </c>
      <c r="B1598" s="36" t="s">
        <v>4</v>
      </c>
      <c r="C1598" s="36" t="s">
        <v>7588</v>
      </c>
      <c r="D1598" s="9" t="s">
        <v>6980</v>
      </c>
      <c r="E1598" s="9" t="s">
        <v>7400</v>
      </c>
      <c r="F1598" s="9" t="s">
        <v>6718</v>
      </c>
      <c r="G1598" s="36" t="s">
        <v>14</v>
      </c>
      <c r="H1598" s="36" t="str">
        <f>IFERROR(VLOOKUP(Table2[[#This Row], [Ticket]],Okey!A:B,2,0),"")</f>
        <v/>
      </c>
      <c r="I1598" s="36"/>
      <c r="J1598" s="36" t="str">
        <f>VLOOKUP(Table2[[#This Row], [Author]],People!A:B,2,0)</f>
        <v>HC</v>
      </c>
      <c r="M1598" s="36" t="s">
        <v>1613</v>
      </c>
    </row>
    <row r="1599" spans="1:13" x14ac:dyDescent="0.25">
      <c r="A1599" s="49">
        <f t="shared" si="26"/>
        <v>1597</v>
      </c>
      <c r="B1599" s="36" t="s">
        <v>4</v>
      </c>
      <c r="C1599" s="36" t="s">
        <v>7588</v>
      </c>
      <c r="D1599" s="9" t="s">
        <v>6981</v>
      </c>
      <c r="E1599" s="9" t="s">
        <v>7401</v>
      </c>
      <c r="F1599" s="9" t="s">
        <v>6980</v>
      </c>
      <c r="G1599" s="36" t="s">
        <v>14</v>
      </c>
      <c r="H1599" s="36" t="str">
        <f>IFERROR(VLOOKUP(Table2[[#This Row], [Ticket]],Okey!A:B,2,0),"")</f>
        <v/>
      </c>
      <c r="I1599" s="36"/>
      <c r="J1599" s="36" t="str">
        <f>VLOOKUP(Table2[[#This Row], [Author]],People!A:B,2,0)</f>
        <v>HC</v>
      </c>
      <c r="M1599" s="36" t="s">
        <v>1613</v>
      </c>
    </row>
    <row r="1600" spans="1:13" x14ac:dyDescent="0.25">
      <c r="A1600" s="49">
        <f t="shared" si="26"/>
        <v>1598</v>
      </c>
      <c r="B1600" s="36" t="s">
        <v>4</v>
      </c>
      <c r="C1600" s="36" t="s">
        <v>7588</v>
      </c>
      <c r="D1600" s="9" t="s">
        <v>6982</v>
      </c>
      <c r="E1600" s="9" t="s">
        <v>7402</v>
      </c>
      <c r="F1600" s="9" t="s">
        <v>6980</v>
      </c>
      <c r="G1600" s="36" t="s">
        <v>14</v>
      </c>
      <c r="H1600" s="36" t="str">
        <f>IFERROR(VLOOKUP(Table2[[#This Row], [Ticket]],Okey!A:B,2,0),"")</f>
        <v/>
      </c>
      <c r="I1600" s="36"/>
      <c r="J1600" s="36" t="str">
        <f>VLOOKUP(Table2[[#This Row], [Author]],People!A:B,2,0)</f>
        <v>HC</v>
      </c>
      <c r="M1600" s="36" t="s">
        <v>1613</v>
      </c>
    </row>
    <row r="1601" spans="1:13" x14ac:dyDescent="0.25">
      <c r="A1601" s="49">
        <f t="shared" si="26"/>
        <v>1599</v>
      </c>
      <c r="B1601" s="36" t="s">
        <v>4</v>
      </c>
      <c r="C1601" s="36" t="s">
        <v>7588</v>
      </c>
      <c r="D1601" s="9" t="s">
        <v>6983</v>
      </c>
      <c r="E1601" s="9" t="s">
        <v>7403</v>
      </c>
      <c r="F1601" s="9" t="s">
        <v>6982</v>
      </c>
      <c r="G1601" s="36" t="s">
        <v>14</v>
      </c>
      <c r="H1601" s="36" t="str">
        <f>IFERROR(VLOOKUP(Table2[[#This Row], [Ticket]],Okey!A:B,2,0),"")</f>
        <v/>
      </c>
      <c r="I1601" s="36"/>
      <c r="J1601" s="36" t="str">
        <f>VLOOKUP(Table2[[#This Row], [Author]],People!A:B,2,0)</f>
        <v>HC</v>
      </c>
      <c r="M1601" s="36" t="s">
        <v>1613</v>
      </c>
    </row>
    <row r="1602" spans="1:13" x14ac:dyDescent="0.25">
      <c r="A1602" s="49">
        <f t="shared" si="26"/>
        <v>1600</v>
      </c>
      <c r="B1602" s="36" t="s">
        <v>4</v>
      </c>
      <c r="C1602" s="36" t="s">
        <v>7588</v>
      </c>
      <c r="D1602" s="9" t="s">
        <v>6984</v>
      </c>
      <c r="E1602" s="9" t="s">
        <v>7404</v>
      </c>
      <c r="F1602" s="9" t="s">
        <v>6982</v>
      </c>
      <c r="G1602" s="36" t="s">
        <v>14</v>
      </c>
      <c r="H1602" s="36" t="str">
        <f>IFERROR(VLOOKUP(Table2[[#This Row], [Ticket]],Okey!A:B,2,0),"")</f>
        <v/>
      </c>
      <c r="I1602" s="36"/>
      <c r="J1602" s="36" t="str">
        <f>VLOOKUP(Table2[[#This Row], [Author]],People!A:B,2,0)</f>
        <v>HC</v>
      </c>
      <c r="M1602" s="36" t="s">
        <v>1613</v>
      </c>
    </row>
    <row r="1603" spans="1:13" x14ac:dyDescent="0.25">
      <c r="A1603" s="49">
        <f t="shared" si="26"/>
        <v>1601</v>
      </c>
      <c r="B1603" s="36" t="s">
        <v>4</v>
      </c>
      <c r="C1603" s="36" t="s">
        <v>7588</v>
      </c>
      <c r="D1603" s="9" t="s">
        <v>6985</v>
      </c>
      <c r="E1603" s="9" t="s">
        <v>7405</v>
      </c>
      <c r="F1603" s="9" t="s">
        <v>6980</v>
      </c>
      <c r="G1603" s="36" t="s">
        <v>14</v>
      </c>
      <c r="H1603" s="36" t="str">
        <f>IFERROR(VLOOKUP(Table2[[#This Row], [Ticket]],Okey!A:B,2,0),"")</f>
        <v/>
      </c>
      <c r="I1603" s="36"/>
      <c r="J1603" s="36" t="str">
        <f>VLOOKUP(Table2[[#This Row], [Author]],People!A:B,2,0)</f>
        <v>HC</v>
      </c>
      <c r="M1603" s="36" t="s">
        <v>1613</v>
      </c>
    </row>
    <row r="1604" spans="1:13" x14ac:dyDescent="0.25">
      <c r="A1604" s="49">
        <f t="shared" si="26"/>
        <v>1602</v>
      </c>
      <c r="B1604" s="36" t="s">
        <v>4</v>
      </c>
      <c r="C1604" s="36" t="s">
        <v>7588</v>
      </c>
      <c r="D1604" s="9" t="s">
        <v>6986</v>
      </c>
      <c r="E1604" s="9" t="s">
        <v>7406</v>
      </c>
      <c r="F1604" s="9" t="s">
        <v>6985</v>
      </c>
      <c r="G1604" s="36" t="s">
        <v>14</v>
      </c>
      <c r="H1604" s="36" t="str">
        <f>IFERROR(VLOOKUP(Table2[[#This Row], [Ticket]],Okey!A:B,2,0),"")</f>
        <v/>
      </c>
      <c r="I1604" s="36"/>
      <c r="J1604" s="36" t="str">
        <f>VLOOKUP(Table2[[#This Row], [Author]],People!A:B,2,0)</f>
        <v>HC</v>
      </c>
      <c r="M1604" s="36" t="s">
        <v>1613</v>
      </c>
    </row>
    <row r="1605" spans="1:13" x14ac:dyDescent="0.25">
      <c r="A1605" s="49">
        <f t="shared" si="26"/>
        <v>1603</v>
      </c>
      <c r="B1605" s="36" t="s">
        <v>4</v>
      </c>
      <c r="C1605" s="36" t="s">
        <v>7588</v>
      </c>
      <c r="D1605" s="9" t="s">
        <v>6987</v>
      </c>
      <c r="E1605" s="9" t="s">
        <v>7407</v>
      </c>
      <c r="F1605" s="9" t="s">
        <v>6985</v>
      </c>
      <c r="G1605" s="36" t="s">
        <v>14</v>
      </c>
      <c r="H1605" s="36" t="str">
        <f>IFERROR(VLOOKUP(Table2[[#This Row], [Ticket]],Okey!A:B,2,0),"")</f>
        <v/>
      </c>
      <c r="I1605" s="36"/>
      <c r="J1605" s="36" t="str">
        <f>VLOOKUP(Table2[[#This Row], [Author]],People!A:B,2,0)</f>
        <v>HC</v>
      </c>
      <c r="M1605" s="36" t="s">
        <v>1613</v>
      </c>
    </row>
    <row r="1606" spans="1:13" x14ac:dyDescent="0.25">
      <c r="A1606" s="49">
        <f t="shared" si="26"/>
        <v>1604</v>
      </c>
      <c r="B1606" s="36" t="s">
        <v>4</v>
      </c>
      <c r="C1606" s="36" t="s">
        <v>7588</v>
      </c>
      <c r="D1606" s="9" t="s">
        <v>6988</v>
      </c>
      <c r="E1606" s="9" t="s">
        <v>7408</v>
      </c>
      <c r="F1606" s="9" t="s">
        <v>6716</v>
      </c>
      <c r="G1606" s="36" t="s">
        <v>14</v>
      </c>
      <c r="H1606" s="36" t="str">
        <f>IFERROR(VLOOKUP(Table2[[#This Row], [Ticket]],Okey!A:B,2,0),"")</f>
        <v/>
      </c>
      <c r="I1606" s="36"/>
      <c r="J1606" s="36" t="str">
        <f>VLOOKUP(Table2[[#This Row], [Author]],People!A:B,2,0)</f>
        <v>HC</v>
      </c>
      <c r="M1606" s="36" t="s">
        <v>1613</v>
      </c>
    </row>
    <row r="1607" spans="1:13" x14ac:dyDescent="0.25">
      <c r="A1607" s="49">
        <f t="shared" si="26"/>
        <v>1605</v>
      </c>
      <c r="B1607" s="36" t="s">
        <v>4</v>
      </c>
      <c r="C1607" s="36" t="s">
        <v>7588</v>
      </c>
      <c r="D1607" s="9" t="s">
        <v>6989</v>
      </c>
      <c r="E1607" s="9" t="s">
        <v>7409</v>
      </c>
      <c r="F1607" s="9" t="s">
        <v>6988</v>
      </c>
      <c r="G1607" s="36" t="s">
        <v>14</v>
      </c>
      <c r="H1607" s="36" t="str">
        <f>IFERROR(VLOOKUP(Table2[[#This Row], [Ticket]],Okey!A:B,2,0),"")</f>
        <v/>
      </c>
      <c r="I1607" s="36"/>
      <c r="J1607" s="36" t="str">
        <f>VLOOKUP(Table2[[#This Row], [Author]],People!A:B,2,0)</f>
        <v>HC</v>
      </c>
      <c r="M1607" s="36" t="s">
        <v>1613</v>
      </c>
    </row>
    <row r="1608" spans="1:13" x14ac:dyDescent="0.25">
      <c r="A1608" s="49">
        <f t="shared" si="26"/>
        <v>1606</v>
      </c>
      <c r="B1608" s="36" t="s">
        <v>4</v>
      </c>
      <c r="C1608" s="36" t="s">
        <v>7588</v>
      </c>
      <c r="D1608" s="9" t="s">
        <v>6990</v>
      </c>
      <c r="E1608" s="9" t="s">
        <v>7410</v>
      </c>
      <c r="F1608" s="9" t="s">
        <v>6988</v>
      </c>
      <c r="G1608" s="36" t="s">
        <v>14</v>
      </c>
      <c r="H1608" s="36" t="str">
        <f>IFERROR(VLOOKUP(Table2[[#This Row], [Ticket]],Okey!A:B,2,0),"")</f>
        <v/>
      </c>
      <c r="I1608" s="36"/>
      <c r="J1608" s="36" t="str">
        <f>VLOOKUP(Table2[[#This Row], [Author]],People!A:B,2,0)</f>
        <v>HC</v>
      </c>
      <c r="M1608" s="36" t="s">
        <v>1613</v>
      </c>
    </row>
    <row r="1609" spans="1:13" x14ac:dyDescent="0.25">
      <c r="A1609" s="49">
        <f t="shared" si="26"/>
        <v>1607</v>
      </c>
      <c r="B1609" s="36" t="s">
        <v>4</v>
      </c>
      <c r="C1609" s="36" t="s">
        <v>7588</v>
      </c>
      <c r="D1609" s="9" t="s">
        <v>6991</v>
      </c>
      <c r="E1609" s="9" t="s">
        <v>7411</v>
      </c>
      <c r="F1609" s="9" t="s">
        <v>6988</v>
      </c>
      <c r="G1609" s="36" t="s">
        <v>14</v>
      </c>
      <c r="H1609" s="36" t="str">
        <f>IFERROR(VLOOKUP(Table2[[#This Row], [Ticket]],Okey!A:B,2,0),"")</f>
        <v/>
      </c>
      <c r="I1609" s="36"/>
      <c r="J1609" s="36" t="str">
        <f>VLOOKUP(Table2[[#This Row], [Author]],People!A:B,2,0)</f>
        <v>HC</v>
      </c>
      <c r="M1609" s="36" t="s">
        <v>1613</v>
      </c>
    </row>
    <row r="1610" spans="1:13" x14ac:dyDescent="0.25">
      <c r="A1610" s="49">
        <f t="shared" si="26"/>
        <v>1608</v>
      </c>
      <c r="B1610" s="36" t="s">
        <v>4</v>
      </c>
      <c r="C1610" s="36" t="s">
        <v>7588</v>
      </c>
      <c r="D1610" s="9" t="s">
        <v>6992</v>
      </c>
      <c r="E1610" s="9" t="s">
        <v>7412</v>
      </c>
      <c r="F1610" s="9" t="s">
        <v>6991</v>
      </c>
      <c r="G1610" s="36" t="s">
        <v>14</v>
      </c>
      <c r="H1610" s="36" t="str">
        <f>IFERROR(VLOOKUP(Table2[[#This Row], [Ticket]],Okey!A:B,2,0),"")</f>
        <v/>
      </c>
      <c r="I1610" s="36"/>
      <c r="J1610" s="36" t="str">
        <f>VLOOKUP(Table2[[#This Row], [Author]],People!A:B,2,0)</f>
        <v>HC</v>
      </c>
      <c r="M1610" s="36" t="s">
        <v>1613</v>
      </c>
    </row>
    <row r="1611" spans="1:13" x14ac:dyDescent="0.25">
      <c r="A1611" s="49">
        <f t="shared" si="26"/>
        <v>1609</v>
      </c>
      <c r="B1611" s="36" t="s">
        <v>4</v>
      </c>
      <c r="C1611" s="36" t="s">
        <v>7588</v>
      </c>
      <c r="D1611" s="9" t="s">
        <v>6993</v>
      </c>
      <c r="E1611" s="9" t="s">
        <v>7413</v>
      </c>
      <c r="F1611" s="9" t="s">
        <v>6991</v>
      </c>
      <c r="G1611" s="36" t="s">
        <v>14</v>
      </c>
      <c r="H1611" s="36" t="str">
        <f>IFERROR(VLOOKUP(Table2[[#This Row], [Ticket]],Okey!A:B,2,0),"")</f>
        <v/>
      </c>
      <c r="I1611" s="36"/>
      <c r="J1611" s="36" t="str">
        <f>VLOOKUP(Table2[[#This Row], [Author]],People!A:B,2,0)</f>
        <v>HC</v>
      </c>
      <c r="M1611" s="36" t="s">
        <v>1613</v>
      </c>
    </row>
    <row r="1612" spans="1:13" x14ac:dyDescent="0.25">
      <c r="A1612" s="49">
        <f t="shared" si="26"/>
        <v>1610</v>
      </c>
      <c r="B1612" s="36" t="s">
        <v>4</v>
      </c>
      <c r="C1612" s="36" t="s">
        <v>7588</v>
      </c>
      <c r="D1612" s="9" t="s">
        <v>6994</v>
      </c>
      <c r="E1612" s="9" t="s">
        <v>7414</v>
      </c>
      <c r="F1612" s="9" t="s">
        <v>6988</v>
      </c>
      <c r="G1612" s="36" t="s">
        <v>14</v>
      </c>
      <c r="H1612" s="36" t="str">
        <f>IFERROR(VLOOKUP(Table2[[#This Row], [Ticket]],Okey!A:B,2,0),"")</f>
        <v/>
      </c>
      <c r="I1612" s="36"/>
      <c r="J1612" s="36" t="str">
        <f>VLOOKUP(Table2[[#This Row], [Author]],People!A:B,2,0)</f>
        <v>HC</v>
      </c>
      <c r="M1612" s="36" t="s">
        <v>1613</v>
      </c>
    </row>
    <row r="1613" spans="1:13" x14ac:dyDescent="0.25">
      <c r="A1613" s="49">
        <f t="shared" si="26"/>
        <v>1611</v>
      </c>
      <c r="B1613" s="36" t="s">
        <v>4</v>
      </c>
      <c r="C1613" s="36" t="s">
        <v>7588</v>
      </c>
      <c r="D1613" s="9" t="s">
        <v>6995</v>
      </c>
      <c r="E1613" s="9" t="s">
        <v>7415</v>
      </c>
      <c r="F1613" s="9" t="s">
        <v>6994</v>
      </c>
      <c r="G1613" s="36" t="s">
        <v>14</v>
      </c>
      <c r="H1613" s="36" t="str">
        <f>IFERROR(VLOOKUP(Table2[[#This Row], [Ticket]],Okey!A:B,2,0),"")</f>
        <v/>
      </c>
      <c r="I1613" s="36"/>
      <c r="J1613" s="36" t="str">
        <f>VLOOKUP(Table2[[#This Row], [Author]],People!A:B,2,0)</f>
        <v>HC</v>
      </c>
      <c r="M1613" s="36" t="s">
        <v>1613</v>
      </c>
    </row>
    <row r="1614" spans="1:13" x14ac:dyDescent="0.25">
      <c r="A1614" s="49">
        <f t="shared" si="26"/>
        <v>1612</v>
      </c>
      <c r="B1614" s="36" t="s">
        <v>4</v>
      </c>
      <c r="C1614" s="36" t="s">
        <v>7588</v>
      </c>
      <c r="D1614" s="9" t="s">
        <v>6996</v>
      </c>
      <c r="E1614" s="9" t="s">
        <v>7416</v>
      </c>
      <c r="F1614" s="9" t="s">
        <v>6994</v>
      </c>
      <c r="G1614" s="36" t="s">
        <v>14</v>
      </c>
      <c r="H1614" s="36" t="str">
        <f>IFERROR(VLOOKUP(Table2[[#This Row], [Ticket]],Okey!A:B,2,0),"")</f>
        <v/>
      </c>
      <c r="I1614" s="36"/>
      <c r="J1614" s="36" t="str">
        <f>VLOOKUP(Table2[[#This Row], [Author]],People!A:B,2,0)</f>
        <v>HC</v>
      </c>
      <c r="M1614" s="36" t="s">
        <v>1613</v>
      </c>
    </row>
    <row r="1615" spans="1:13" x14ac:dyDescent="0.25">
      <c r="A1615" s="49">
        <f t="shared" si="26"/>
        <v>1613</v>
      </c>
      <c r="B1615" s="36" t="s">
        <v>4</v>
      </c>
      <c r="C1615" s="36" t="s">
        <v>7588</v>
      </c>
      <c r="D1615" s="9" t="s">
        <v>6997</v>
      </c>
      <c r="E1615" s="9" t="s">
        <v>7417</v>
      </c>
      <c r="F1615" s="9" t="s">
        <v>6994</v>
      </c>
      <c r="G1615" s="36" t="s">
        <v>14</v>
      </c>
      <c r="H1615" s="36" t="str">
        <f>IFERROR(VLOOKUP(Table2[[#This Row], [Ticket]],Okey!A:B,2,0),"")</f>
        <v/>
      </c>
      <c r="I1615" s="36"/>
      <c r="J1615" s="36" t="str">
        <f>VLOOKUP(Table2[[#This Row], [Author]],People!A:B,2,0)</f>
        <v>HC</v>
      </c>
      <c r="M1615" s="36" t="s">
        <v>1613</v>
      </c>
    </row>
    <row r="1616" spans="1:13" x14ac:dyDescent="0.25">
      <c r="A1616" s="49">
        <f t="shared" si="26"/>
        <v>1614</v>
      </c>
      <c r="B1616" s="36" t="s">
        <v>4</v>
      </c>
      <c r="C1616" s="36" t="s">
        <v>7588</v>
      </c>
      <c r="D1616" s="9" t="s">
        <v>6998</v>
      </c>
      <c r="E1616" s="9" t="s">
        <v>7418</v>
      </c>
      <c r="F1616" s="9" t="s">
        <v>6994</v>
      </c>
      <c r="G1616" s="36" t="s">
        <v>14</v>
      </c>
      <c r="H1616" s="36" t="str">
        <f>IFERROR(VLOOKUP(Table2[[#This Row], [Ticket]],Okey!A:B,2,0),"")</f>
        <v/>
      </c>
      <c r="I1616" s="36"/>
      <c r="J1616" s="36" t="str">
        <f>VLOOKUP(Table2[[#This Row], [Author]],People!A:B,2,0)</f>
        <v>HC</v>
      </c>
      <c r="M1616" s="36" t="s">
        <v>1613</v>
      </c>
    </row>
    <row r="1617" spans="1:13" x14ac:dyDescent="0.25">
      <c r="A1617" s="49">
        <f t="shared" si="26"/>
        <v>1615</v>
      </c>
      <c r="B1617" s="36" t="s">
        <v>4</v>
      </c>
      <c r="C1617" s="36" t="s">
        <v>7588</v>
      </c>
      <c r="D1617" s="9" t="s">
        <v>6999</v>
      </c>
      <c r="E1617" s="9" t="s">
        <v>7419</v>
      </c>
      <c r="F1617" s="9" t="s">
        <v>6994</v>
      </c>
      <c r="G1617" s="36" t="s">
        <v>14</v>
      </c>
      <c r="H1617" s="36" t="str">
        <f>IFERROR(VLOOKUP(Table2[[#This Row], [Ticket]],Okey!A:B,2,0),"")</f>
        <v/>
      </c>
      <c r="I1617" s="36"/>
      <c r="J1617" s="36" t="str">
        <f>VLOOKUP(Table2[[#This Row], [Author]],People!A:B,2,0)</f>
        <v>HC</v>
      </c>
      <c r="M1617" s="36" t="s">
        <v>1613</v>
      </c>
    </row>
    <row r="1618" spans="1:13" x14ac:dyDescent="0.25">
      <c r="A1618" s="49">
        <f t="shared" si="26"/>
        <v>1616</v>
      </c>
      <c r="B1618" s="36" t="s">
        <v>4</v>
      </c>
      <c r="C1618" s="36" t="s">
        <v>7588</v>
      </c>
      <c r="D1618" s="9" t="s">
        <v>7000</v>
      </c>
      <c r="E1618" s="9" t="s">
        <v>7420</v>
      </c>
      <c r="F1618" s="9" t="s">
        <v>6718</v>
      </c>
      <c r="G1618" s="36" t="s">
        <v>14</v>
      </c>
      <c r="H1618" s="36" t="str">
        <f>IFERROR(VLOOKUP(Table2[[#This Row], [Ticket]],Okey!A:B,2,0),"")</f>
        <v/>
      </c>
      <c r="I1618" s="36"/>
      <c r="J1618" s="36" t="str">
        <f>VLOOKUP(Table2[[#This Row], [Author]],People!A:B,2,0)</f>
        <v>HC</v>
      </c>
      <c r="M1618" s="36" t="s">
        <v>1613</v>
      </c>
    </row>
    <row r="1619" spans="1:13" x14ac:dyDescent="0.25">
      <c r="A1619" s="49">
        <f t="shared" si="26"/>
        <v>1617</v>
      </c>
      <c r="B1619" s="36" t="s">
        <v>4</v>
      </c>
      <c r="C1619" s="36" t="s">
        <v>7588</v>
      </c>
      <c r="D1619" s="9" t="s">
        <v>7001</v>
      </c>
      <c r="E1619" s="9" t="s">
        <v>7421</v>
      </c>
      <c r="F1619" s="9" t="s">
        <v>7000</v>
      </c>
      <c r="G1619" s="36" t="s">
        <v>14</v>
      </c>
      <c r="H1619" s="36" t="str">
        <f>IFERROR(VLOOKUP(Table2[[#This Row], [Ticket]],Okey!A:B,2,0),"")</f>
        <v/>
      </c>
      <c r="I1619" s="36"/>
      <c r="J1619" s="36" t="str">
        <f>VLOOKUP(Table2[[#This Row], [Author]],People!A:B,2,0)</f>
        <v>HC</v>
      </c>
      <c r="M1619" s="36" t="s">
        <v>1613</v>
      </c>
    </row>
    <row r="1620" spans="1:13" x14ac:dyDescent="0.25">
      <c r="A1620" s="49">
        <f t="shared" si="26"/>
        <v>1618</v>
      </c>
      <c r="B1620" s="36" t="s">
        <v>4</v>
      </c>
      <c r="C1620" s="36" t="s">
        <v>7588</v>
      </c>
      <c r="D1620" s="9" t="s">
        <v>7002</v>
      </c>
      <c r="E1620" s="9" t="s">
        <v>7422</v>
      </c>
      <c r="F1620" s="9" t="s">
        <v>7000</v>
      </c>
      <c r="G1620" s="36" t="s">
        <v>14</v>
      </c>
      <c r="H1620" s="36" t="str">
        <f>IFERROR(VLOOKUP(Table2[[#This Row], [Ticket]],Okey!A:B,2,0),"")</f>
        <v/>
      </c>
      <c r="I1620" s="36"/>
      <c r="J1620" s="36" t="str">
        <f>VLOOKUP(Table2[[#This Row], [Author]],People!A:B,2,0)</f>
        <v>HC</v>
      </c>
      <c r="M1620" s="36" t="s">
        <v>1613</v>
      </c>
    </row>
    <row r="1621" spans="1:13" x14ac:dyDescent="0.25">
      <c r="A1621" s="49">
        <f t="shared" ref="A1621:A1684" si="27">1+A1620</f>
        <v>1619</v>
      </c>
      <c r="B1621" s="36" t="s">
        <v>4</v>
      </c>
      <c r="C1621" s="36" t="s">
        <v>7588</v>
      </c>
      <c r="D1621" s="9" t="s">
        <v>7003</v>
      </c>
      <c r="E1621" s="9" t="s">
        <v>7423</v>
      </c>
      <c r="F1621" s="9" t="s">
        <v>7002</v>
      </c>
      <c r="G1621" s="36" t="s">
        <v>14</v>
      </c>
      <c r="H1621" s="36" t="str">
        <f>IFERROR(VLOOKUP(Table2[[#This Row], [Ticket]],Okey!A:B,2,0),"")</f>
        <v/>
      </c>
      <c r="I1621" s="36"/>
      <c r="J1621" s="36" t="str">
        <f>VLOOKUP(Table2[[#This Row], [Author]],People!A:B,2,0)</f>
        <v>HC</v>
      </c>
      <c r="M1621" s="36" t="s">
        <v>1613</v>
      </c>
    </row>
    <row r="1622" spans="1:13" x14ac:dyDescent="0.25">
      <c r="A1622" s="49">
        <f t="shared" si="27"/>
        <v>1620</v>
      </c>
      <c r="B1622" s="36" t="s">
        <v>4</v>
      </c>
      <c r="C1622" s="36" t="s">
        <v>7588</v>
      </c>
      <c r="D1622" s="9" t="s">
        <v>7004</v>
      </c>
      <c r="E1622" s="9" t="s">
        <v>7424</v>
      </c>
      <c r="F1622" s="9" t="s">
        <v>7002</v>
      </c>
      <c r="G1622" s="36" t="s">
        <v>14</v>
      </c>
      <c r="H1622" s="36" t="str">
        <f>IFERROR(VLOOKUP(Table2[[#This Row], [Ticket]],Okey!A:B,2,0),"")</f>
        <v/>
      </c>
      <c r="I1622" s="36"/>
      <c r="J1622" s="36" t="str">
        <f>VLOOKUP(Table2[[#This Row], [Author]],People!A:B,2,0)</f>
        <v>HC</v>
      </c>
      <c r="M1622" s="36" t="s">
        <v>1613</v>
      </c>
    </row>
    <row r="1623" spans="1:13" x14ac:dyDescent="0.25">
      <c r="A1623" s="49">
        <f t="shared" si="27"/>
        <v>1621</v>
      </c>
      <c r="B1623" s="36" t="s">
        <v>4</v>
      </c>
      <c r="C1623" s="36" t="s">
        <v>7588</v>
      </c>
      <c r="D1623" s="9" t="s">
        <v>7005</v>
      </c>
      <c r="E1623" s="9" t="s">
        <v>7425</v>
      </c>
      <c r="F1623" s="9" t="s">
        <v>7000</v>
      </c>
      <c r="G1623" s="36" t="s">
        <v>14</v>
      </c>
      <c r="H1623" s="36" t="str">
        <f>IFERROR(VLOOKUP(Table2[[#This Row], [Ticket]],Okey!A:B,2,0),"")</f>
        <v/>
      </c>
      <c r="I1623" s="36"/>
      <c r="J1623" s="36" t="str">
        <f>VLOOKUP(Table2[[#This Row], [Author]],People!A:B,2,0)</f>
        <v>HC</v>
      </c>
      <c r="M1623" s="36" t="s">
        <v>1613</v>
      </c>
    </row>
    <row r="1624" spans="1:13" x14ac:dyDescent="0.25">
      <c r="A1624" s="49">
        <f t="shared" si="27"/>
        <v>1622</v>
      </c>
      <c r="B1624" s="36" t="s">
        <v>4</v>
      </c>
      <c r="C1624" s="36" t="s">
        <v>7588</v>
      </c>
      <c r="D1624" s="9" t="s">
        <v>7006</v>
      </c>
      <c r="E1624" s="9" t="s">
        <v>7426</v>
      </c>
      <c r="F1624" s="9" t="s">
        <v>7005</v>
      </c>
      <c r="G1624" s="36" t="s">
        <v>14</v>
      </c>
      <c r="H1624" s="36" t="str">
        <f>IFERROR(VLOOKUP(Table2[[#This Row], [Ticket]],Okey!A:B,2,0),"")</f>
        <v/>
      </c>
      <c r="I1624" s="36"/>
      <c r="J1624" s="36" t="str">
        <f>VLOOKUP(Table2[[#This Row], [Author]],People!A:B,2,0)</f>
        <v>HC</v>
      </c>
      <c r="M1624" s="36" t="s">
        <v>1613</v>
      </c>
    </row>
    <row r="1625" spans="1:13" x14ac:dyDescent="0.25">
      <c r="A1625" s="49">
        <f t="shared" si="27"/>
        <v>1623</v>
      </c>
      <c r="B1625" s="36" t="s">
        <v>4</v>
      </c>
      <c r="C1625" s="36" t="s">
        <v>7588</v>
      </c>
      <c r="D1625" s="9" t="s">
        <v>7007</v>
      </c>
      <c r="E1625" s="9" t="s">
        <v>7427</v>
      </c>
      <c r="F1625" s="9" t="s">
        <v>7005</v>
      </c>
      <c r="G1625" s="36" t="s">
        <v>14</v>
      </c>
      <c r="H1625" s="36" t="str">
        <f>IFERROR(VLOOKUP(Table2[[#This Row], [Ticket]],Okey!A:B,2,0),"")</f>
        <v/>
      </c>
      <c r="I1625" s="36"/>
      <c r="J1625" s="36" t="str">
        <f>VLOOKUP(Table2[[#This Row], [Author]],People!A:B,2,0)</f>
        <v>HC</v>
      </c>
      <c r="M1625" s="36" t="s">
        <v>1613</v>
      </c>
    </row>
    <row r="1626" spans="1:13" x14ac:dyDescent="0.25">
      <c r="A1626" s="49">
        <f t="shared" si="27"/>
        <v>1624</v>
      </c>
      <c r="B1626" s="36" t="s">
        <v>4</v>
      </c>
      <c r="C1626" s="36" t="s">
        <v>7588</v>
      </c>
      <c r="D1626" s="9" t="s">
        <v>7008</v>
      </c>
      <c r="E1626" s="9" t="s">
        <v>7428</v>
      </c>
      <c r="F1626" s="9" t="s">
        <v>6716</v>
      </c>
      <c r="G1626" s="36" t="s">
        <v>14</v>
      </c>
      <c r="H1626" s="36" t="str">
        <f>IFERROR(VLOOKUP(Table2[[#This Row], [Ticket]],Okey!A:B,2,0),"")</f>
        <v/>
      </c>
      <c r="I1626" s="36"/>
      <c r="J1626" s="36" t="str">
        <f>VLOOKUP(Table2[[#This Row], [Author]],People!A:B,2,0)</f>
        <v>HC</v>
      </c>
      <c r="M1626" s="36" t="s">
        <v>1613</v>
      </c>
    </row>
    <row r="1627" spans="1:13" x14ac:dyDescent="0.25">
      <c r="A1627" s="49">
        <f t="shared" si="27"/>
        <v>1625</v>
      </c>
      <c r="B1627" s="36" t="s">
        <v>4</v>
      </c>
      <c r="C1627" s="36" t="s">
        <v>7588</v>
      </c>
      <c r="D1627" s="9" t="s">
        <v>7009</v>
      </c>
      <c r="E1627" s="9" t="s">
        <v>7429</v>
      </c>
      <c r="F1627" s="9" t="s">
        <v>7008</v>
      </c>
      <c r="G1627" s="36" t="s">
        <v>14</v>
      </c>
      <c r="H1627" s="36" t="str">
        <f>IFERROR(VLOOKUP(Table2[[#This Row], [Ticket]],Okey!A:B,2,0),"")</f>
        <v/>
      </c>
      <c r="I1627" s="36"/>
      <c r="J1627" s="36" t="str">
        <f>VLOOKUP(Table2[[#This Row], [Author]],People!A:B,2,0)</f>
        <v>HC</v>
      </c>
      <c r="M1627" s="36" t="s">
        <v>1613</v>
      </c>
    </row>
    <row r="1628" spans="1:13" x14ac:dyDescent="0.25">
      <c r="A1628" s="49">
        <f t="shared" si="27"/>
        <v>1626</v>
      </c>
      <c r="B1628" s="36" t="s">
        <v>4</v>
      </c>
      <c r="C1628" s="36" t="s">
        <v>7588</v>
      </c>
      <c r="D1628" s="9" t="s">
        <v>7010</v>
      </c>
      <c r="E1628" s="9" t="s">
        <v>7430</v>
      </c>
      <c r="F1628" s="9" t="s">
        <v>7008</v>
      </c>
      <c r="G1628" s="36" t="s">
        <v>14</v>
      </c>
      <c r="H1628" s="36" t="str">
        <f>IFERROR(VLOOKUP(Table2[[#This Row], [Ticket]],Okey!A:B,2,0),"")</f>
        <v/>
      </c>
      <c r="I1628" s="36"/>
      <c r="J1628" s="36" t="str">
        <f>VLOOKUP(Table2[[#This Row], [Author]],People!A:B,2,0)</f>
        <v>HC</v>
      </c>
      <c r="M1628" s="36" t="s">
        <v>1613</v>
      </c>
    </row>
    <row r="1629" spans="1:13" x14ac:dyDescent="0.25">
      <c r="A1629" s="49">
        <f t="shared" si="27"/>
        <v>1627</v>
      </c>
      <c r="B1629" s="36" t="s">
        <v>4</v>
      </c>
      <c r="C1629" s="36" t="s">
        <v>7588</v>
      </c>
      <c r="D1629" s="9" t="s">
        <v>7011</v>
      </c>
      <c r="E1629" s="9" t="s">
        <v>7431</v>
      </c>
      <c r="F1629" s="9" t="s">
        <v>7008</v>
      </c>
      <c r="G1629" s="36" t="s">
        <v>14</v>
      </c>
      <c r="H1629" s="36" t="str">
        <f>IFERROR(VLOOKUP(Table2[[#This Row], [Ticket]],Okey!A:B,2,0),"")</f>
        <v/>
      </c>
      <c r="I1629" s="36"/>
      <c r="J1629" s="36" t="str">
        <f>VLOOKUP(Table2[[#This Row], [Author]],People!A:B,2,0)</f>
        <v>HC</v>
      </c>
      <c r="M1629" s="36" t="s">
        <v>1613</v>
      </c>
    </row>
    <row r="1630" spans="1:13" x14ac:dyDescent="0.25">
      <c r="A1630" s="49">
        <f t="shared" si="27"/>
        <v>1628</v>
      </c>
      <c r="B1630" s="36" t="s">
        <v>4</v>
      </c>
      <c r="C1630" s="36" t="s">
        <v>7588</v>
      </c>
      <c r="D1630" s="9" t="s">
        <v>7012</v>
      </c>
      <c r="E1630" s="9" t="s">
        <v>7432</v>
      </c>
      <c r="F1630" s="9" t="s">
        <v>7011</v>
      </c>
      <c r="G1630" s="36" t="s">
        <v>14</v>
      </c>
      <c r="H1630" s="36" t="str">
        <f>IFERROR(VLOOKUP(Table2[[#This Row], [Ticket]],Okey!A:B,2,0),"")</f>
        <v/>
      </c>
      <c r="I1630" s="36"/>
      <c r="J1630" s="36" t="str">
        <f>VLOOKUP(Table2[[#This Row], [Author]],People!A:B,2,0)</f>
        <v>HC</v>
      </c>
      <c r="M1630" s="36" t="s">
        <v>1613</v>
      </c>
    </row>
    <row r="1631" spans="1:13" x14ac:dyDescent="0.25">
      <c r="A1631" s="49">
        <f t="shared" si="27"/>
        <v>1629</v>
      </c>
      <c r="B1631" s="36" t="s">
        <v>4</v>
      </c>
      <c r="C1631" s="36" t="s">
        <v>7588</v>
      </c>
      <c r="D1631" s="9" t="s">
        <v>7013</v>
      </c>
      <c r="E1631" s="9" t="s">
        <v>7433</v>
      </c>
      <c r="F1631" s="9" t="s">
        <v>7011</v>
      </c>
      <c r="G1631" s="36" t="s">
        <v>14</v>
      </c>
      <c r="H1631" s="36" t="str">
        <f>IFERROR(VLOOKUP(Table2[[#This Row], [Ticket]],Okey!A:B,2,0),"")</f>
        <v/>
      </c>
      <c r="I1631" s="36"/>
      <c r="J1631" s="36" t="str">
        <f>VLOOKUP(Table2[[#This Row], [Author]],People!A:B,2,0)</f>
        <v>HC</v>
      </c>
      <c r="M1631" s="36" t="s">
        <v>1613</v>
      </c>
    </row>
    <row r="1632" spans="1:13" x14ac:dyDescent="0.25">
      <c r="A1632" s="49">
        <f t="shared" si="27"/>
        <v>1630</v>
      </c>
      <c r="B1632" s="36" t="s">
        <v>4</v>
      </c>
      <c r="C1632" s="36" t="s">
        <v>7588</v>
      </c>
      <c r="D1632" s="9" t="s">
        <v>7014</v>
      </c>
      <c r="E1632" s="9" t="s">
        <v>7434</v>
      </c>
      <c r="F1632" s="9" t="s">
        <v>7008</v>
      </c>
      <c r="G1632" s="36" t="s">
        <v>14</v>
      </c>
      <c r="H1632" s="36" t="str">
        <f>IFERROR(VLOOKUP(Table2[[#This Row], [Ticket]],Okey!A:B,2,0),"")</f>
        <v/>
      </c>
      <c r="I1632" s="36"/>
      <c r="J1632" s="36" t="str">
        <f>VLOOKUP(Table2[[#This Row], [Author]],People!A:B,2,0)</f>
        <v>HC</v>
      </c>
      <c r="M1632" s="36" t="s">
        <v>1613</v>
      </c>
    </row>
    <row r="1633" spans="1:13" x14ac:dyDescent="0.25">
      <c r="A1633" s="49">
        <f t="shared" si="27"/>
        <v>1631</v>
      </c>
      <c r="B1633" s="36" t="s">
        <v>4</v>
      </c>
      <c r="C1633" s="36" t="s">
        <v>7588</v>
      </c>
      <c r="D1633" s="9" t="s">
        <v>7015</v>
      </c>
      <c r="E1633" s="9" t="s">
        <v>7435</v>
      </c>
      <c r="F1633" s="9" t="s">
        <v>7014</v>
      </c>
      <c r="G1633" s="36" t="s">
        <v>14</v>
      </c>
      <c r="H1633" s="36" t="str">
        <f>IFERROR(VLOOKUP(Table2[[#This Row], [Ticket]],Okey!A:B,2,0),"")</f>
        <v/>
      </c>
      <c r="I1633" s="36"/>
      <c r="J1633" s="36" t="str">
        <f>VLOOKUP(Table2[[#This Row], [Author]],People!A:B,2,0)</f>
        <v>HC</v>
      </c>
      <c r="M1633" s="36" t="s">
        <v>1613</v>
      </c>
    </row>
    <row r="1634" spans="1:13" x14ac:dyDescent="0.25">
      <c r="A1634" s="49">
        <f t="shared" si="27"/>
        <v>1632</v>
      </c>
      <c r="B1634" s="36" t="s">
        <v>4</v>
      </c>
      <c r="C1634" s="36" t="s">
        <v>7588</v>
      </c>
      <c r="D1634" s="9" t="s">
        <v>7016</v>
      </c>
      <c r="E1634" s="9" t="s">
        <v>7436</v>
      </c>
      <c r="F1634" s="9" t="s">
        <v>7014</v>
      </c>
      <c r="G1634" s="36" t="s">
        <v>14</v>
      </c>
      <c r="H1634" s="36" t="str">
        <f>IFERROR(VLOOKUP(Table2[[#This Row], [Ticket]],Okey!A:B,2,0),"")</f>
        <v/>
      </c>
      <c r="I1634" s="36"/>
      <c r="J1634" s="36" t="str">
        <f>VLOOKUP(Table2[[#This Row], [Author]],People!A:B,2,0)</f>
        <v>HC</v>
      </c>
      <c r="M1634" s="36" t="s">
        <v>1613</v>
      </c>
    </row>
    <row r="1635" spans="1:13" x14ac:dyDescent="0.25">
      <c r="A1635" s="49">
        <f t="shared" si="27"/>
        <v>1633</v>
      </c>
      <c r="B1635" s="36" t="s">
        <v>4</v>
      </c>
      <c r="C1635" s="36" t="s">
        <v>7588</v>
      </c>
      <c r="D1635" s="9" t="s">
        <v>7017</v>
      </c>
      <c r="E1635" s="9" t="s">
        <v>7437</v>
      </c>
      <c r="F1635" s="9" t="s">
        <v>7014</v>
      </c>
      <c r="G1635" s="36" t="s">
        <v>14</v>
      </c>
      <c r="H1635" s="36" t="str">
        <f>IFERROR(VLOOKUP(Table2[[#This Row], [Ticket]],Okey!A:B,2,0),"")</f>
        <v/>
      </c>
      <c r="I1635" s="36"/>
      <c r="J1635" s="36" t="str">
        <f>VLOOKUP(Table2[[#This Row], [Author]],People!A:B,2,0)</f>
        <v>HC</v>
      </c>
      <c r="M1635" s="36" t="s">
        <v>1613</v>
      </c>
    </row>
    <row r="1636" spans="1:13" x14ac:dyDescent="0.25">
      <c r="A1636" s="49">
        <f t="shared" si="27"/>
        <v>1634</v>
      </c>
      <c r="B1636" s="36" t="s">
        <v>4</v>
      </c>
      <c r="C1636" s="36" t="s">
        <v>7588</v>
      </c>
      <c r="D1636" s="9" t="s">
        <v>7018</v>
      </c>
      <c r="E1636" s="9" t="s">
        <v>7438</v>
      </c>
      <c r="F1636" s="9" t="s">
        <v>7014</v>
      </c>
      <c r="G1636" s="36" t="s">
        <v>14</v>
      </c>
      <c r="H1636" s="36" t="str">
        <f>IFERROR(VLOOKUP(Table2[[#This Row], [Ticket]],Okey!A:B,2,0),"")</f>
        <v/>
      </c>
      <c r="I1636" s="36"/>
      <c r="J1636" s="36" t="str">
        <f>VLOOKUP(Table2[[#This Row], [Author]],People!A:B,2,0)</f>
        <v>HC</v>
      </c>
      <c r="M1636" s="36" t="s">
        <v>1613</v>
      </c>
    </row>
    <row r="1637" spans="1:13" x14ac:dyDescent="0.25">
      <c r="A1637" s="49">
        <f t="shared" si="27"/>
        <v>1635</v>
      </c>
      <c r="B1637" s="36" t="s">
        <v>4</v>
      </c>
      <c r="C1637" s="36" t="s">
        <v>7588</v>
      </c>
      <c r="D1637" s="9" t="s">
        <v>7019</v>
      </c>
      <c r="E1637" s="9" t="s">
        <v>7439</v>
      </c>
      <c r="F1637" s="9" t="s">
        <v>7014</v>
      </c>
      <c r="G1637" s="36" t="s">
        <v>14</v>
      </c>
      <c r="H1637" s="36" t="str">
        <f>IFERROR(VLOOKUP(Table2[[#This Row], [Ticket]],Okey!A:B,2,0),"")</f>
        <v/>
      </c>
      <c r="I1637" s="36"/>
      <c r="J1637" s="36" t="str">
        <f>VLOOKUP(Table2[[#This Row], [Author]],People!A:B,2,0)</f>
        <v>HC</v>
      </c>
      <c r="M1637" s="36" t="s">
        <v>1613</v>
      </c>
    </row>
    <row r="1638" spans="1:13" x14ac:dyDescent="0.25">
      <c r="A1638" s="49">
        <f t="shared" si="27"/>
        <v>1636</v>
      </c>
      <c r="B1638" s="36" t="s">
        <v>4</v>
      </c>
      <c r="C1638" s="36" t="s">
        <v>7588</v>
      </c>
      <c r="D1638" s="9" t="s">
        <v>7020</v>
      </c>
      <c r="E1638" s="9" t="s">
        <v>7440</v>
      </c>
      <c r="F1638" s="9" t="s">
        <v>6718</v>
      </c>
      <c r="G1638" s="36" t="s">
        <v>14</v>
      </c>
      <c r="H1638" s="36" t="str">
        <f>IFERROR(VLOOKUP(Table2[[#This Row], [Ticket]],Okey!A:B,2,0),"")</f>
        <v/>
      </c>
      <c r="I1638" s="36"/>
      <c r="J1638" s="36" t="str">
        <f>VLOOKUP(Table2[[#This Row], [Author]],People!A:B,2,0)</f>
        <v>HC</v>
      </c>
      <c r="M1638" s="36" t="s">
        <v>1613</v>
      </c>
    </row>
    <row r="1639" spans="1:13" x14ac:dyDescent="0.25">
      <c r="A1639" s="49">
        <f t="shared" si="27"/>
        <v>1637</v>
      </c>
      <c r="B1639" s="36" t="s">
        <v>4</v>
      </c>
      <c r="C1639" s="36" t="s">
        <v>7588</v>
      </c>
      <c r="D1639" s="9" t="s">
        <v>7021</v>
      </c>
      <c r="E1639" s="9" t="s">
        <v>7441</v>
      </c>
      <c r="F1639" s="9" t="s">
        <v>7020</v>
      </c>
      <c r="G1639" s="36" t="s">
        <v>14</v>
      </c>
      <c r="H1639" s="36" t="str">
        <f>IFERROR(VLOOKUP(Table2[[#This Row], [Ticket]],Okey!A:B,2,0),"")</f>
        <v/>
      </c>
      <c r="I1639" s="36"/>
      <c r="J1639" s="36" t="str">
        <f>VLOOKUP(Table2[[#This Row], [Author]],People!A:B,2,0)</f>
        <v>HC</v>
      </c>
      <c r="M1639" s="36" t="s">
        <v>1613</v>
      </c>
    </row>
    <row r="1640" spans="1:13" x14ac:dyDescent="0.25">
      <c r="A1640" s="49">
        <f t="shared" si="27"/>
        <v>1638</v>
      </c>
      <c r="B1640" s="36" t="s">
        <v>4</v>
      </c>
      <c r="C1640" s="36" t="s">
        <v>7588</v>
      </c>
      <c r="D1640" s="9" t="s">
        <v>7022</v>
      </c>
      <c r="E1640" s="9" t="s">
        <v>7442</v>
      </c>
      <c r="F1640" s="9" t="s">
        <v>7020</v>
      </c>
      <c r="G1640" s="36" t="s">
        <v>14</v>
      </c>
      <c r="H1640" s="36" t="str">
        <f>IFERROR(VLOOKUP(Table2[[#This Row], [Ticket]],Okey!A:B,2,0),"")</f>
        <v/>
      </c>
      <c r="I1640" s="36"/>
      <c r="J1640" s="36" t="str">
        <f>VLOOKUP(Table2[[#This Row], [Author]],People!A:B,2,0)</f>
        <v>HC</v>
      </c>
      <c r="M1640" s="36" t="s">
        <v>1613</v>
      </c>
    </row>
    <row r="1641" spans="1:13" x14ac:dyDescent="0.25">
      <c r="A1641" s="49">
        <f t="shared" si="27"/>
        <v>1639</v>
      </c>
      <c r="B1641" s="36" t="s">
        <v>4</v>
      </c>
      <c r="C1641" s="36" t="s">
        <v>7588</v>
      </c>
      <c r="D1641" s="9" t="s">
        <v>7023</v>
      </c>
      <c r="E1641" s="9" t="s">
        <v>7443</v>
      </c>
      <c r="F1641" s="9" t="s">
        <v>7022</v>
      </c>
      <c r="G1641" s="36" t="s">
        <v>14</v>
      </c>
      <c r="H1641" s="36" t="str">
        <f>IFERROR(VLOOKUP(Table2[[#This Row], [Ticket]],Okey!A:B,2,0),"")</f>
        <v/>
      </c>
      <c r="I1641" s="36"/>
      <c r="J1641" s="36" t="str">
        <f>VLOOKUP(Table2[[#This Row], [Author]],People!A:B,2,0)</f>
        <v>HC</v>
      </c>
      <c r="M1641" s="36" t="s">
        <v>1613</v>
      </c>
    </row>
    <row r="1642" spans="1:13" x14ac:dyDescent="0.25">
      <c r="A1642" s="49">
        <f t="shared" si="27"/>
        <v>1640</v>
      </c>
      <c r="B1642" s="36" t="s">
        <v>4</v>
      </c>
      <c r="C1642" s="36" t="s">
        <v>7588</v>
      </c>
      <c r="D1642" s="9" t="s">
        <v>7024</v>
      </c>
      <c r="E1642" s="9" t="s">
        <v>7444</v>
      </c>
      <c r="F1642" s="9" t="s">
        <v>7022</v>
      </c>
      <c r="G1642" s="36" t="s">
        <v>14</v>
      </c>
      <c r="H1642" s="36" t="str">
        <f>IFERROR(VLOOKUP(Table2[[#This Row], [Ticket]],Okey!A:B,2,0),"")</f>
        <v/>
      </c>
      <c r="I1642" s="36"/>
      <c r="J1642" s="36" t="str">
        <f>VLOOKUP(Table2[[#This Row], [Author]],People!A:B,2,0)</f>
        <v>HC</v>
      </c>
      <c r="M1642" s="36" t="s">
        <v>1613</v>
      </c>
    </row>
    <row r="1643" spans="1:13" x14ac:dyDescent="0.25">
      <c r="A1643" s="49">
        <f t="shared" si="27"/>
        <v>1641</v>
      </c>
      <c r="B1643" s="36" t="s">
        <v>4</v>
      </c>
      <c r="C1643" s="36" t="s">
        <v>7588</v>
      </c>
      <c r="D1643" s="9" t="s">
        <v>7025</v>
      </c>
      <c r="E1643" s="9" t="s">
        <v>7445</v>
      </c>
      <c r="F1643" s="9" t="s">
        <v>7020</v>
      </c>
      <c r="G1643" s="36" t="s">
        <v>14</v>
      </c>
      <c r="H1643" s="36" t="str">
        <f>IFERROR(VLOOKUP(Table2[[#This Row], [Ticket]],Okey!A:B,2,0),"")</f>
        <v/>
      </c>
      <c r="I1643" s="36"/>
      <c r="J1643" s="36" t="str">
        <f>VLOOKUP(Table2[[#This Row], [Author]],People!A:B,2,0)</f>
        <v>HC</v>
      </c>
      <c r="M1643" s="36" t="s">
        <v>1613</v>
      </c>
    </row>
    <row r="1644" spans="1:13" x14ac:dyDescent="0.25">
      <c r="A1644" s="49">
        <f t="shared" si="27"/>
        <v>1642</v>
      </c>
      <c r="B1644" s="36" t="s">
        <v>4</v>
      </c>
      <c r="C1644" s="36" t="s">
        <v>7588</v>
      </c>
      <c r="D1644" s="9" t="s">
        <v>7026</v>
      </c>
      <c r="E1644" s="9" t="s">
        <v>7446</v>
      </c>
      <c r="F1644" s="9" t="s">
        <v>7025</v>
      </c>
      <c r="G1644" s="36" t="s">
        <v>14</v>
      </c>
      <c r="H1644" s="36" t="str">
        <f>IFERROR(VLOOKUP(Table2[[#This Row], [Ticket]],Okey!A:B,2,0),"")</f>
        <v/>
      </c>
      <c r="I1644" s="36"/>
      <c r="J1644" s="36" t="str">
        <f>VLOOKUP(Table2[[#This Row], [Author]],People!A:B,2,0)</f>
        <v>HC</v>
      </c>
      <c r="M1644" s="36" t="s">
        <v>1613</v>
      </c>
    </row>
    <row r="1645" spans="1:13" x14ac:dyDescent="0.25">
      <c r="A1645" s="49">
        <f t="shared" si="27"/>
        <v>1643</v>
      </c>
      <c r="B1645" s="36" t="s">
        <v>4</v>
      </c>
      <c r="C1645" s="36" t="s">
        <v>7588</v>
      </c>
      <c r="D1645" s="9" t="s">
        <v>7027</v>
      </c>
      <c r="E1645" s="9" t="s">
        <v>7447</v>
      </c>
      <c r="F1645" s="9" t="s">
        <v>7025</v>
      </c>
      <c r="G1645" s="36" t="s">
        <v>14</v>
      </c>
      <c r="H1645" s="36" t="str">
        <f>IFERROR(VLOOKUP(Table2[[#This Row], [Ticket]],Okey!A:B,2,0),"")</f>
        <v/>
      </c>
      <c r="I1645" s="36"/>
      <c r="J1645" s="36" t="str">
        <f>VLOOKUP(Table2[[#This Row], [Author]],People!A:B,2,0)</f>
        <v>HC</v>
      </c>
      <c r="M1645" s="36" t="s">
        <v>1613</v>
      </c>
    </row>
    <row r="1646" spans="1:13" x14ac:dyDescent="0.25">
      <c r="A1646" s="49">
        <f t="shared" si="27"/>
        <v>1644</v>
      </c>
      <c r="B1646" s="36" t="s">
        <v>4</v>
      </c>
      <c r="C1646" s="36" t="s">
        <v>7588</v>
      </c>
      <c r="D1646" s="9" t="s">
        <v>7028</v>
      </c>
      <c r="E1646" s="9" t="s">
        <v>7448</v>
      </c>
      <c r="F1646" s="9" t="s">
        <v>6716</v>
      </c>
      <c r="G1646" s="36" t="s">
        <v>14</v>
      </c>
      <c r="H1646" s="36" t="str">
        <f>IFERROR(VLOOKUP(Table2[[#This Row], [Ticket]],Okey!A:B,2,0),"")</f>
        <v/>
      </c>
      <c r="I1646" s="36"/>
      <c r="J1646" s="36" t="str">
        <f>VLOOKUP(Table2[[#This Row], [Author]],People!A:B,2,0)</f>
        <v>HC</v>
      </c>
      <c r="M1646" s="36" t="s">
        <v>1613</v>
      </c>
    </row>
    <row r="1647" spans="1:13" x14ac:dyDescent="0.25">
      <c r="A1647" s="49">
        <f t="shared" si="27"/>
        <v>1645</v>
      </c>
      <c r="B1647" s="36" t="s">
        <v>4</v>
      </c>
      <c r="C1647" s="36" t="s">
        <v>7588</v>
      </c>
      <c r="D1647" s="9" t="s">
        <v>7029</v>
      </c>
      <c r="E1647" s="9" t="s">
        <v>7449</v>
      </c>
      <c r="F1647" s="9" t="s">
        <v>7028</v>
      </c>
      <c r="G1647" s="36" t="s">
        <v>14</v>
      </c>
      <c r="H1647" s="36" t="str">
        <f>IFERROR(VLOOKUP(Table2[[#This Row], [Ticket]],Okey!A:B,2,0),"")</f>
        <v/>
      </c>
      <c r="I1647" s="36"/>
      <c r="J1647" s="36" t="str">
        <f>VLOOKUP(Table2[[#This Row], [Author]],People!A:B,2,0)</f>
        <v>HC</v>
      </c>
      <c r="M1647" s="36" t="s">
        <v>1613</v>
      </c>
    </row>
    <row r="1648" spans="1:13" x14ac:dyDescent="0.25">
      <c r="A1648" s="49">
        <f t="shared" si="27"/>
        <v>1646</v>
      </c>
      <c r="B1648" s="36" t="s">
        <v>4</v>
      </c>
      <c r="C1648" s="36" t="s">
        <v>7588</v>
      </c>
      <c r="D1648" s="9" t="s">
        <v>7030</v>
      </c>
      <c r="E1648" s="9" t="s">
        <v>7450</v>
      </c>
      <c r="F1648" s="9" t="s">
        <v>7028</v>
      </c>
      <c r="G1648" s="36" t="s">
        <v>14</v>
      </c>
      <c r="H1648" s="36" t="str">
        <f>IFERROR(VLOOKUP(Table2[[#This Row], [Ticket]],Okey!A:B,2,0),"")</f>
        <v/>
      </c>
      <c r="I1648" s="36"/>
      <c r="J1648" s="36" t="str">
        <f>VLOOKUP(Table2[[#This Row], [Author]],People!A:B,2,0)</f>
        <v>HC</v>
      </c>
      <c r="M1648" s="36" t="s">
        <v>1613</v>
      </c>
    </row>
    <row r="1649" spans="1:13" x14ac:dyDescent="0.25">
      <c r="A1649" s="49">
        <f t="shared" si="27"/>
        <v>1647</v>
      </c>
      <c r="B1649" s="36" t="s">
        <v>4</v>
      </c>
      <c r="C1649" s="36" t="s">
        <v>7588</v>
      </c>
      <c r="D1649" s="9" t="s">
        <v>7031</v>
      </c>
      <c r="E1649" s="9" t="s">
        <v>7451</v>
      </c>
      <c r="F1649" s="9" t="s">
        <v>7028</v>
      </c>
      <c r="G1649" s="36" t="s">
        <v>14</v>
      </c>
      <c r="H1649" s="36" t="str">
        <f>IFERROR(VLOOKUP(Table2[[#This Row], [Ticket]],Okey!A:B,2,0),"")</f>
        <v/>
      </c>
      <c r="I1649" s="36"/>
      <c r="J1649" s="36" t="str">
        <f>VLOOKUP(Table2[[#This Row], [Author]],People!A:B,2,0)</f>
        <v>HC</v>
      </c>
      <c r="M1649" s="36" t="s">
        <v>1613</v>
      </c>
    </row>
    <row r="1650" spans="1:13" x14ac:dyDescent="0.25">
      <c r="A1650" s="49">
        <f t="shared" si="27"/>
        <v>1648</v>
      </c>
      <c r="B1650" s="36" t="s">
        <v>4</v>
      </c>
      <c r="C1650" s="36" t="s">
        <v>7588</v>
      </c>
      <c r="D1650" s="9" t="s">
        <v>7032</v>
      </c>
      <c r="E1650" s="9" t="s">
        <v>7452</v>
      </c>
      <c r="F1650" s="9" t="s">
        <v>7031</v>
      </c>
      <c r="G1650" s="36" t="s">
        <v>14</v>
      </c>
      <c r="H1650" s="36" t="str">
        <f>IFERROR(VLOOKUP(Table2[[#This Row], [Ticket]],Okey!A:B,2,0),"")</f>
        <v/>
      </c>
      <c r="I1650" s="36"/>
      <c r="J1650" s="36" t="str">
        <f>VLOOKUP(Table2[[#This Row], [Author]],People!A:B,2,0)</f>
        <v>HC</v>
      </c>
      <c r="M1650" s="36" t="s">
        <v>1613</v>
      </c>
    </row>
    <row r="1651" spans="1:13" x14ac:dyDescent="0.25">
      <c r="A1651" s="49">
        <f t="shared" si="27"/>
        <v>1649</v>
      </c>
      <c r="B1651" s="36" t="s">
        <v>4</v>
      </c>
      <c r="C1651" s="36" t="s">
        <v>7588</v>
      </c>
      <c r="D1651" s="9" t="s">
        <v>7033</v>
      </c>
      <c r="E1651" s="9" t="s">
        <v>7453</v>
      </c>
      <c r="F1651" s="9" t="s">
        <v>7031</v>
      </c>
      <c r="G1651" s="36" t="s">
        <v>14</v>
      </c>
      <c r="H1651" s="36" t="str">
        <f>IFERROR(VLOOKUP(Table2[[#This Row], [Ticket]],Okey!A:B,2,0),"")</f>
        <v/>
      </c>
      <c r="I1651" s="36"/>
      <c r="J1651" s="36" t="str">
        <f>VLOOKUP(Table2[[#This Row], [Author]],People!A:B,2,0)</f>
        <v>HC</v>
      </c>
      <c r="M1651" s="36" t="s">
        <v>1613</v>
      </c>
    </row>
    <row r="1652" spans="1:13" x14ac:dyDescent="0.25">
      <c r="A1652" s="49">
        <f t="shared" si="27"/>
        <v>1650</v>
      </c>
      <c r="B1652" s="36" t="s">
        <v>4</v>
      </c>
      <c r="C1652" s="36" t="s">
        <v>7588</v>
      </c>
      <c r="D1652" s="9" t="s">
        <v>7034</v>
      </c>
      <c r="E1652" s="9" t="s">
        <v>7454</v>
      </c>
      <c r="F1652" s="9" t="s">
        <v>7028</v>
      </c>
      <c r="G1652" s="36" t="s">
        <v>14</v>
      </c>
      <c r="H1652" s="36" t="str">
        <f>IFERROR(VLOOKUP(Table2[[#This Row], [Ticket]],Okey!A:B,2,0),"")</f>
        <v/>
      </c>
      <c r="I1652" s="36"/>
      <c r="J1652" s="36" t="str">
        <f>VLOOKUP(Table2[[#This Row], [Author]],People!A:B,2,0)</f>
        <v>HC</v>
      </c>
      <c r="M1652" s="36" t="s">
        <v>1613</v>
      </c>
    </row>
    <row r="1653" spans="1:13" x14ac:dyDescent="0.25">
      <c r="A1653" s="49">
        <f t="shared" si="27"/>
        <v>1651</v>
      </c>
      <c r="B1653" s="36" t="s">
        <v>4</v>
      </c>
      <c r="C1653" s="36" t="s">
        <v>7588</v>
      </c>
      <c r="D1653" s="9" t="s">
        <v>7035</v>
      </c>
      <c r="E1653" s="9" t="s">
        <v>7455</v>
      </c>
      <c r="F1653" s="9" t="s">
        <v>7034</v>
      </c>
      <c r="G1653" s="36" t="s">
        <v>14</v>
      </c>
      <c r="H1653" s="36" t="str">
        <f>IFERROR(VLOOKUP(Table2[[#This Row], [Ticket]],Okey!A:B,2,0),"")</f>
        <v/>
      </c>
      <c r="I1653" s="36"/>
      <c r="J1653" s="36" t="str">
        <f>VLOOKUP(Table2[[#This Row], [Author]],People!A:B,2,0)</f>
        <v>HC</v>
      </c>
      <c r="M1653" s="36" t="s">
        <v>1613</v>
      </c>
    </row>
    <row r="1654" spans="1:13" x14ac:dyDescent="0.25">
      <c r="A1654" s="49">
        <f t="shared" si="27"/>
        <v>1652</v>
      </c>
      <c r="B1654" s="36" t="s">
        <v>4</v>
      </c>
      <c r="C1654" s="36" t="s">
        <v>7588</v>
      </c>
      <c r="D1654" s="9" t="s">
        <v>7036</v>
      </c>
      <c r="E1654" s="9" t="s">
        <v>7456</v>
      </c>
      <c r="F1654" s="9" t="s">
        <v>7034</v>
      </c>
      <c r="G1654" s="36" t="s">
        <v>14</v>
      </c>
      <c r="H1654" s="36" t="str">
        <f>IFERROR(VLOOKUP(Table2[[#This Row], [Ticket]],Okey!A:B,2,0),"")</f>
        <v/>
      </c>
      <c r="I1654" s="36"/>
      <c r="J1654" s="36" t="str">
        <f>VLOOKUP(Table2[[#This Row], [Author]],People!A:B,2,0)</f>
        <v>HC</v>
      </c>
      <c r="M1654" s="36" t="s">
        <v>1613</v>
      </c>
    </row>
    <row r="1655" spans="1:13" x14ac:dyDescent="0.25">
      <c r="A1655" s="49">
        <f t="shared" si="27"/>
        <v>1653</v>
      </c>
      <c r="B1655" s="36" t="s">
        <v>4</v>
      </c>
      <c r="C1655" s="36" t="s">
        <v>7588</v>
      </c>
      <c r="D1655" s="9" t="s">
        <v>7037</v>
      </c>
      <c r="E1655" s="9" t="s">
        <v>7457</v>
      </c>
      <c r="F1655" s="9" t="s">
        <v>7034</v>
      </c>
      <c r="G1655" s="36" t="s">
        <v>14</v>
      </c>
      <c r="H1655" s="36" t="str">
        <f>IFERROR(VLOOKUP(Table2[[#This Row], [Ticket]],Okey!A:B,2,0),"")</f>
        <v/>
      </c>
      <c r="I1655" s="36"/>
      <c r="J1655" s="36" t="str">
        <f>VLOOKUP(Table2[[#This Row], [Author]],People!A:B,2,0)</f>
        <v>HC</v>
      </c>
      <c r="M1655" s="36" t="s">
        <v>1613</v>
      </c>
    </row>
    <row r="1656" spans="1:13" x14ac:dyDescent="0.25">
      <c r="A1656" s="49">
        <f t="shared" si="27"/>
        <v>1654</v>
      </c>
      <c r="B1656" s="36" t="s">
        <v>4</v>
      </c>
      <c r="C1656" s="36" t="s">
        <v>7588</v>
      </c>
      <c r="D1656" s="9" t="s">
        <v>7038</v>
      </c>
      <c r="E1656" s="9" t="s">
        <v>7458</v>
      </c>
      <c r="F1656" s="9" t="s">
        <v>7034</v>
      </c>
      <c r="G1656" s="36" t="s">
        <v>14</v>
      </c>
      <c r="H1656" s="36" t="str">
        <f>IFERROR(VLOOKUP(Table2[[#This Row], [Ticket]],Okey!A:B,2,0),"")</f>
        <v/>
      </c>
      <c r="I1656" s="36"/>
      <c r="J1656" s="36" t="str">
        <f>VLOOKUP(Table2[[#This Row], [Author]],People!A:B,2,0)</f>
        <v>HC</v>
      </c>
      <c r="M1656" s="36" t="s">
        <v>1613</v>
      </c>
    </row>
    <row r="1657" spans="1:13" x14ac:dyDescent="0.25">
      <c r="A1657" s="49">
        <f t="shared" si="27"/>
        <v>1655</v>
      </c>
      <c r="B1657" s="36" t="s">
        <v>4</v>
      </c>
      <c r="C1657" s="36" t="s">
        <v>7588</v>
      </c>
      <c r="D1657" s="9" t="s">
        <v>7039</v>
      </c>
      <c r="E1657" s="9" t="s">
        <v>7459</v>
      </c>
      <c r="F1657" s="9" t="s">
        <v>7034</v>
      </c>
      <c r="G1657" s="36" t="s">
        <v>14</v>
      </c>
      <c r="H1657" s="36" t="str">
        <f>IFERROR(VLOOKUP(Table2[[#This Row], [Ticket]],Okey!A:B,2,0),"")</f>
        <v/>
      </c>
      <c r="I1657" s="36"/>
      <c r="J1657" s="36" t="str">
        <f>VLOOKUP(Table2[[#This Row], [Author]],People!A:B,2,0)</f>
        <v>HC</v>
      </c>
      <c r="M1657" s="36" t="s">
        <v>1613</v>
      </c>
    </row>
    <row r="1658" spans="1:13" x14ac:dyDescent="0.25">
      <c r="A1658" s="49">
        <f t="shared" si="27"/>
        <v>1656</v>
      </c>
      <c r="B1658" s="36" t="s">
        <v>4</v>
      </c>
      <c r="C1658" s="36" t="s">
        <v>7588</v>
      </c>
      <c r="D1658" s="9" t="s">
        <v>7040</v>
      </c>
      <c r="E1658" s="9" t="s">
        <v>7460</v>
      </c>
      <c r="F1658" s="9" t="s">
        <v>6718</v>
      </c>
      <c r="G1658" s="36" t="s">
        <v>14</v>
      </c>
      <c r="H1658" s="36" t="str">
        <f>IFERROR(VLOOKUP(Table2[[#This Row], [Ticket]],Okey!A:B,2,0),"")</f>
        <v/>
      </c>
      <c r="I1658" s="36"/>
      <c r="J1658" s="36" t="str">
        <f>VLOOKUP(Table2[[#This Row], [Author]],People!A:B,2,0)</f>
        <v>HC</v>
      </c>
      <c r="M1658" s="36" t="s">
        <v>1613</v>
      </c>
    </row>
    <row r="1659" spans="1:13" x14ac:dyDescent="0.25">
      <c r="A1659" s="49">
        <f t="shared" si="27"/>
        <v>1657</v>
      </c>
      <c r="B1659" s="36" t="s">
        <v>4</v>
      </c>
      <c r="C1659" s="36" t="s">
        <v>7588</v>
      </c>
      <c r="D1659" s="9" t="s">
        <v>7041</v>
      </c>
      <c r="E1659" s="9" t="s">
        <v>7461</v>
      </c>
      <c r="F1659" s="9" t="s">
        <v>7040</v>
      </c>
      <c r="G1659" s="36" t="s">
        <v>14</v>
      </c>
      <c r="H1659" s="36" t="str">
        <f>IFERROR(VLOOKUP(Table2[[#This Row], [Ticket]],Okey!A:B,2,0),"")</f>
        <v/>
      </c>
      <c r="I1659" s="36"/>
      <c r="J1659" s="36" t="str">
        <f>VLOOKUP(Table2[[#This Row], [Author]],People!A:B,2,0)</f>
        <v>HC</v>
      </c>
      <c r="M1659" s="36" t="s">
        <v>1613</v>
      </c>
    </row>
    <row r="1660" spans="1:13" x14ac:dyDescent="0.25">
      <c r="A1660" s="49">
        <f t="shared" si="27"/>
        <v>1658</v>
      </c>
      <c r="B1660" s="36" t="s">
        <v>4</v>
      </c>
      <c r="C1660" s="36" t="s">
        <v>7588</v>
      </c>
      <c r="D1660" s="9" t="s">
        <v>7042</v>
      </c>
      <c r="E1660" s="9" t="s">
        <v>7462</v>
      </c>
      <c r="F1660" s="9" t="s">
        <v>7040</v>
      </c>
      <c r="G1660" s="36" t="s">
        <v>14</v>
      </c>
      <c r="H1660" s="36" t="str">
        <f>IFERROR(VLOOKUP(Table2[[#This Row], [Ticket]],Okey!A:B,2,0),"")</f>
        <v/>
      </c>
      <c r="I1660" s="36"/>
      <c r="J1660" s="36" t="str">
        <f>VLOOKUP(Table2[[#This Row], [Author]],People!A:B,2,0)</f>
        <v>HC</v>
      </c>
      <c r="M1660" s="36" t="s">
        <v>1613</v>
      </c>
    </row>
    <row r="1661" spans="1:13" x14ac:dyDescent="0.25">
      <c r="A1661" s="49">
        <f t="shared" si="27"/>
        <v>1659</v>
      </c>
      <c r="B1661" s="36" t="s">
        <v>4</v>
      </c>
      <c r="C1661" s="36" t="s">
        <v>7588</v>
      </c>
      <c r="D1661" s="9" t="s">
        <v>7043</v>
      </c>
      <c r="E1661" s="9" t="s">
        <v>7463</v>
      </c>
      <c r="F1661" s="9" t="s">
        <v>7042</v>
      </c>
      <c r="G1661" s="36" t="s">
        <v>14</v>
      </c>
      <c r="H1661" s="36" t="str">
        <f>IFERROR(VLOOKUP(Table2[[#This Row], [Ticket]],Okey!A:B,2,0),"")</f>
        <v/>
      </c>
      <c r="I1661" s="36"/>
      <c r="J1661" s="36" t="str">
        <f>VLOOKUP(Table2[[#This Row], [Author]],People!A:B,2,0)</f>
        <v>HC</v>
      </c>
      <c r="M1661" s="36" t="s">
        <v>1613</v>
      </c>
    </row>
    <row r="1662" spans="1:13" x14ac:dyDescent="0.25">
      <c r="A1662" s="49">
        <f t="shared" si="27"/>
        <v>1660</v>
      </c>
      <c r="B1662" s="36" t="s">
        <v>4</v>
      </c>
      <c r="C1662" s="36" t="s">
        <v>7588</v>
      </c>
      <c r="D1662" s="9" t="s">
        <v>7044</v>
      </c>
      <c r="E1662" s="9" t="s">
        <v>7464</v>
      </c>
      <c r="F1662" s="9" t="s">
        <v>7042</v>
      </c>
      <c r="G1662" s="36" t="s">
        <v>14</v>
      </c>
      <c r="H1662" s="36" t="str">
        <f>IFERROR(VLOOKUP(Table2[[#This Row], [Ticket]],Okey!A:B,2,0),"")</f>
        <v/>
      </c>
      <c r="I1662" s="36"/>
      <c r="J1662" s="36" t="str">
        <f>VLOOKUP(Table2[[#This Row], [Author]],People!A:B,2,0)</f>
        <v>HC</v>
      </c>
      <c r="M1662" s="36" t="s">
        <v>1613</v>
      </c>
    </row>
    <row r="1663" spans="1:13" x14ac:dyDescent="0.25">
      <c r="A1663" s="49">
        <f t="shared" si="27"/>
        <v>1661</v>
      </c>
      <c r="B1663" s="36" t="s">
        <v>4</v>
      </c>
      <c r="C1663" s="36" t="s">
        <v>7588</v>
      </c>
      <c r="D1663" s="9" t="s">
        <v>7045</v>
      </c>
      <c r="E1663" s="9" t="s">
        <v>7465</v>
      </c>
      <c r="F1663" s="9" t="s">
        <v>7040</v>
      </c>
      <c r="G1663" s="36" t="s">
        <v>14</v>
      </c>
      <c r="H1663" s="36" t="str">
        <f>IFERROR(VLOOKUP(Table2[[#This Row], [Ticket]],Okey!A:B,2,0),"")</f>
        <v/>
      </c>
      <c r="I1663" s="36"/>
      <c r="J1663" s="36" t="str">
        <f>VLOOKUP(Table2[[#This Row], [Author]],People!A:B,2,0)</f>
        <v>HC</v>
      </c>
      <c r="M1663" s="36" t="s">
        <v>1613</v>
      </c>
    </row>
    <row r="1664" spans="1:13" x14ac:dyDescent="0.25">
      <c r="A1664" s="49">
        <f t="shared" si="27"/>
        <v>1662</v>
      </c>
      <c r="B1664" s="36" t="s">
        <v>4</v>
      </c>
      <c r="C1664" s="36" t="s">
        <v>7588</v>
      </c>
      <c r="D1664" s="9" t="s">
        <v>7046</v>
      </c>
      <c r="E1664" s="9" t="s">
        <v>7466</v>
      </c>
      <c r="F1664" s="9" t="s">
        <v>7045</v>
      </c>
      <c r="G1664" s="36" t="s">
        <v>14</v>
      </c>
      <c r="H1664" s="36" t="str">
        <f>IFERROR(VLOOKUP(Table2[[#This Row], [Ticket]],Okey!A:B,2,0),"")</f>
        <v/>
      </c>
      <c r="I1664" s="36"/>
      <c r="J1664" s="36" t="str">
        <f>VLOOKUP(Table2[[#This Row], [Author]],People!A:B,2,0)</f>
        <v>HC</v>
      </c>
      <c r="M1664" s="36" t="s">
        <v>1613</v>
      </c>
    </row>
    <row r="1665" spans="1:13" x14ac:dyDescent="0.25">
      <c r="A1665" s="49">
        <f t="shared" si="27"/>
        <v>1663</v>
      </c>
      <c r="B1665" s="36" t="s">
        <v>4</v>
      </c>
      <c r="C1665" s="36" t="s">
        <v>7588</v>
      </c>
      <c r="D1665" s="9" t="s">
        <v>7047</v>
      </c>
      <c r="E1665" s="9" t="s">
        <v>7467</v>
      </c>
      <c r="F1665" s="9" t="s">
        <v>7045</v>
      </c>
      <c r="G1665" s="36" t="s">
        <v>14</v>
      </c>
      <c r="H1665" s="36" t="str">
        <f>IFERROR(VLOOKUP(Table2[[#This Row], [Ticket]],Okey!A:B,2,0),"")</f>
        <v/>
      </c>
      <c r="I1665" s="36"/>
      <c r="J1665" s="36" t="str">
        <f>VLOOKUP(Table2[[#This Row], [Author]],People!A:B,2,0)</f>
        <v>HC</v>
      </c>
      <c r="M1665" s="36" t="s">
        <v>1613</v>
      </c>
    </row>
    <row r="1666" spans="1:13" x14ac:dyDescent="0.25">
      <c r="A1666" s="49">
        <f t="shared" si="27"/>
        <v>1664</v>
      </c>
      <c r="B1666" s="36" t="s">
        <v>4</v>
      </c>
      <c r="C1666" s="36" t="s">
        <v>7588</v>
      </c>
      <c r="D1666" s="9" t="s">
        <v>7048</v>
      </c>
      <c r="E1666" s="9" t="s">
        <v>7468</v>
      </c>
      <c r="F1666" s="9" t="s">
        <v>6716</v>
      </c>
      <c r="G1666" s="36" t="s">
        <v>14</v>
      </c>
      <c r="H1666" s="36" t="str">
        <f>IFERROR(VLOOKUP(Table2[[#This Row], [Ticket]],Okey!A:B,2,0),"")</f>
        <v/>
      </c>
      <c r="I1666" s="36"/>
      <c r="J1666" s="36" t="str">
        <f>VLOOKUP(Table2[[#This Row], [Author]],People!A:B,2,0)</f>
        <v>HC</v>
      </c>
      <c r="M1666" s="36" t="s">
        <v>1613</v>
      </c>
    </row>
    <row r="1667" spans="1:13" x14ac:dyDescent="0.25">
      <c r="A1667" s="49">
        <f t="shared" si="27"/>
        <v>1665</v>
      </c>
      <c r="B1667" s="36" t="s">
        <v>4</v>
      </c>
      <c r="C1667" s="36" t="s">
        <v>7588</v>
      </c>
      <c r="D1667" s="9" t="s">
        <v>7049</v>
      </c>
      <c r="E1667" s="9" t="s">
        <v>7469</v>
      </c>
      <c r="F1667" s="9" t="s">
        <v>7048</v>
      </c>
      <c r="G1667" s="36" t="s">
        <v>14</v>
      </c>
      <c r="H1667" s="36" t="str">
        <f>IFERROR(VLOOKUP(Table2[[#This Row], [Ticket]],Okey!A:B,2,0),"")</f>
        <v/>
      </c>
      <c r="I1667" s="36"/>
      <c r="J1667" s="36" t="str">
        <f>VLOOKUP(Table2[[#This Row], [Author]],People!A:B,2,0)</f>
        <v>HC</v>
      </c>
      <c r="M1667" s="36" t="s">
        <v>1613</v>
      </c>
    </row>
    <row r="1668" spans="1:13" x14ac:dyDescent="0.25">
      <c r="A1668" s="49">
        <f t="shared" si="27"/>
        <v>1666</v>
      </c>
      <c r="B1668" s="36" t="s">
        <v>4</v>
      </c>
      <c r="C1668" s="36" t="s">
        <v>7588</v>
      </c>
      <c r="D1668" s="9" t="s">
        <v>7050</v>
      </c>
      <c r="E1668" s="9" t="s">
        <v>7470</v>
      </c>
      <c r="F1668" s="9" t="s">
        <v>7048</v>
      </c>
      <c r="G1668" s="36" t="s">
        <v>14</v>
      </c>
      <c r="H1668" s="36" t="str">
        <f>IFERROR(VLOOKUP(Table2[[#This Row], [Ticket]],Okey!A:B,2,0),"")</f>
        <v/>
      </c>
      <c r="I1668" s="36"/>
      <c r="J1668" s="36" t="str">
        <f>VLOOKUP(Table2[[#This Row], [Author]],People!A:B,2,0)</f>
        <v>HC</v>
      </c>
      <c r="M1668" s="36" t="s">
        <v>1613</v>
      </c>
    </row>
    <row r="1669" spans="1:13" x14ac:dyDescent="0.25">
      <c r="A1669" s="49">
        <f t="shared" si="27"/>
        <v>1667</v>
      </c>
      <c r="B1669" s="36" t="s">
        <v>4</v>
      </c>
      <c r="C1669" s="36" t="s">
        <v>7588</v>
      </c>
      <c r="D1669" s="9" t="s">
        <v>7051</v>
      </c>
      <c r="E1669" s="9" t="s">
        <v>7471</v>
      </c>
      <c r="F1669" s="9" t="s">
        <v>7048</v>
      </c>
      <c r="G1669" s="36" t="s">
        <v>14</v>
      </c>
      <c r="H1669" s="36" t="str">
        <f>IFERROR(VLOOKUP(Table2[[#This Row], [Ticket]],Okey!A:B,2,0),"")</f>
        <v/>
      </c>
      <c r="I1669" s="36"/>
      <c r="J1669" s="36" t="str">
        <f>VLOOKUP(Table2[[#This Row], [Author]],People!A:B,2,0)</f>
        <v>HC</v>
      </c>
      <c r="M1669" s="36" t="s">
        <v>1613</v>
      </c>
    </row>
    <row r="1670" spans="1:13" x14ac:dyDescent="0.25">
      <c r="A1670" s="49">
        <f t="shared" si="27"/>
        <v>1668</v>
      </c>
      <c r="B1670" s="36" t="s">
        <v>4</v>
      </c>
      <c r="C1670" s="36" t="s">
        <v>7588</v>
      </c>
      <c r="D1670" s="9" t="s">
        <v>7052</v>
      </c>
      <c r="E1670" s="9" t="s">
        <v>7472</v>
      </c>
      <c r="F1670" s="9" t="s">
        <v>7051</v>
      </c>
      <c r="G1670" s="36" t="s">
        <v>14</v>
      </c>
      <c r="H1670" s="36" t="str">
        <f>IFERROR(VLOOKUP(Table2[[#This Row], [Ticket]],Okey!A:B,2,0),"")</f>
        <v/>
      </c>
      <c r="I1670" s="36"/>
      <c r="J1670" s="36" t="str">
        <f>VLOOKUP(Table2[[#This Row], [Author]],People!A:B,2,0)</f>
        <v>HC</v>
      </c>
      <c r="M1670" s="36" t="s">
        <v>1613</v>
      </c>
    </row>
    <row r="1671" spans="1:13" x14ac:dyDescent="0.25">
      <c r="A1671" s="49">
        <f t="shared" si="27"/>
        <v>1669</v>
      </c>
      <c r="B1671" s="36" t="s">
        <v>4</v>
      </c>
      <c r="C1671" s="36" t="s">
        <v>7588</v>
      </c>
      <c r="D1671" s="9" t="s">
        <v>7053</v>
      </c>
      <c r="E1671" s="9" t="s">
        <v>7473</v>
      </c>
      <c r="F1671" s="9" t="s">
        <v>7051</v>
      </c>
      <c r="G1671" s="36" t="s">
        <v>14</v>
      </c>
      <c r="H1671" s="36" t="str">
        <f>IFERROR(VLOOKUP(Table2[[#This Row], [Ticket]],Okey!A:B,2,0),"")</f>
        <v/>
      </c>
      <c r="I1671" s="36"/>
      <c r="J1671" s="36" t="str">
        <f>VLOOKUP(Table2[[#This Row], [Author]],People!A:B,2,0)</f>
        <v>HC</v>
      </c>
      <c r="M1671" s="36" t="s">
        <v>1613</v>
      </c>
    </row>
    <row r="1672" spans="1:13" x14ac:dyDescent="0.25">
      <c r="A1672" s="49">
        <f t="shared" si="27"/>
        <v>1670</v>
      </c>
      <c r="B1672" s="36" t="s">
        <v>4</v>
      </c>
      <c r="C1672" s="36" t="s">
        <v>7588</v>
      </c>
      <c r="D1672" s="9" t="s">
        <v>7054</v>
      </c>
      <c r="E1672" s="9" t="s">
        <v>7474</v>
      </c>
      <c r="F1672" s="9" t="s">
        <v>7048</v>
      </c>
      <c r="G1672" s="36" t="s">
        <v>14</v>
      </c>
      <c r="H1672" s="36" t="str">
        <f>IFERROR(VLOOKUP(Table2[[#This Row], [Ticket]],Okey!A:B,2,0),"")</f>
        <v/>
      </c>
      <c r="I1672" s="36"/>
      <c r="J1672" s="36" t="str">
        <f>VLOOKUP(Table2[[#This Row], [Author]],People!A:B,2,0)</f>
        <v>HC</v>
      </c>
      <c r="M1672" s="36" t="s">
        <v>1613</v>
      </c>
    </row>
    <row r="1673" spans="1:13" x14ac:dyDescent="0.25">
      <c r="A1673" s="49">
        <f t="shared" si="27"/>
        <v>1671</v>
      </c>
      <c r="B1673" s="36" t="s">
        <v>4</v>
      </c>
      <c r="C1673" s="36" t="s">
        <v>7588</v>
      </c>
      <c r="D1673" s="9" t="s">
        <v>7055</v>
      </c>
      <c r="E1673" s="9" t="s">
        <v>7475</v>
      </c>
      <c r="F1673" s="9" t="s">
        <v>7054</v>
      </c>
      <c r="G1673" s="36" t="s">
        <v>14</v>
      </c>
      <c r="H1673" s="36" t="str">
        <f>IFERROR(VLOOKUP(Table2[[#This Row], [Ticket]],Okey!A:B,2,0),"")</f>
        <v/>
      </c>
      <c r="I1673" s="36"/>
      <c r="J1673" s="36" t="str">
        <f>VLOOKUP(Table2[[#This Row], [Author]],People!A:B,2,0)</f>
        <v>HC</v>
      </c>
      <c r="M1673" s="36" t="s">
        <v>1613</v>
      </c>
    </row>
    <row r="1674" spans="1:13" x14ac:dyDescent="0.25">
      <c r="A1674" s="49">
        <f t="shared" si="27"/>
        <v>1672</v>
      </c>
      <c r="B1674" s="36" t="s">
        <v>4</v>
      </c>
      <c r="C1674" s="36" t="s">
        <v>7588</v>
      </c>
      <c r="D1674" s="9" t="s">
        <v>7056</v>
      </c>
      <c r="E1674" s="9" t="s">
        <v>7476</v>
      </c>
      <c r="F1674" s="9" t="s">
        <v>7054</v>
      </c>
      <c r="G1674" s="36" t="s">
        <v>14</v>
      </c>
      <c r="H1674" s="36" t="str">
        <f>IFERROR(VLOOKUP(Table2[[#This Row], [Ticket]],Okey!A:B,2,0),"")</f>
        <v/>
      </c>
      <c r="I1674" s="36"/>
      <c r="J1674" s="36" t="str">
        <f>VLOOKUP(Table2[[#This Row], [Author]],People!A:B,2,0)</f>
        <v>HC</v>
      </c>
      <c r="M1674" s="36" t="s">
        <v>1613</v>
      </c>
    </row>
    <row r="1675" spans="1:13" x14ac:dyDescent="0.25">
      <c r="A1675" s="49">
        <f t="shared" si="27"/>
        <v>1673</v>
      </c>
      <c r="B1675" s="36" t="s">
        <v>4</v>
      </c>
      <c r="C1675" s="36" t="s">
        <v>7588</v>
      </c>
      <c r="D1675" s="9" t="s">
        <v>7057</v>
      </c>
      <c r="E1675" s="9" t="s">
        <v>7477</v>
      </c>
      <c r="F1675" s="9" t="s">
        <v>7054</v>
      </c>
      <c r="G1675" s="36" t="s">
        <v>14</v>
      </c>
      <c r="H1675" s="36" t="str">
        <f>IFERROR(VLOOKUP(Table2[[#This Row], [Ticket]],Okey!A:B,2,0),"")</f>
        <v/>
      </c>
      <c r="I1675" s="36"/>
      <c r="J1675" s="36" t="str">
        <f>VLOOKUP(Table2[[#This Row], [Author]],People!A:B,2,0)</f>
        <v>HC</v>
      </c>
      <c r="M1675" s="36" t="s">
        <v>1613</v>
      </c>
    </row>
    <row r="1676" spans="1:13" x14ac:dyDescent="0.25">
      <c r="A1676" s="49">
        <f t="shared" si="27"/>
        <v>1674</v>
      </c>
      <c r="B1676" s="36" t="s">
        <v>4</v>
      </c>
      <c r="C1676" s="36" t="s">
        <v>7588</v>
      </c>
      <c r="D1676" s="9" t="s">
        <v>7058</v>
      </c>
      <c r="E1676" s="9" t="s">
        <v>7478</v>
      </c>
      <c r="F1676" s="9" t="s">
        <v>7054</v>
      </c>
      <c r="G1676" s="36" t="s">
        <v>14</v>
      </c>
      <c r="H1676" s="36" t="str">
        <f>IFERROR(VLOOKUP(Table2[[#This Row], [Ticket]],Okey!A:B,2,0),"")</f>
        <v/>
      </c>
      <c r="I1676" s="36"/>
      <c r="J1676" s="36" t="str">
        <f>VLOOKUP(Table2[[#This Row], [Author]],People!A:B,2,0)</f>
        <v>HC</v>
      </c>
      <c r="M1676" s="36" t="s">
        <v>1613</v>
      </c>
    </row>
    <row r="1677" spans="1:13" x14ac:dyDescent="0.25">
      <c r="A1677" s="49">
        <f t="shared" si="27"/>
        <v>1675</v>
      </c>
      <c r="B1677" s="36" t="s">
        <v>4</v>
      </c>
      <c r="C1677" s="36" t="s">
        <v>7588</v>
      </c>
      <c r="D1677" s="9" t="s">
        <v>7059</v>
      </c>
      <c r="E1677" s="9" t="s">
        <v>7479</v>
      </c>
      <c r="F1677" s="9" t="s">
        <v>7054</v>
      </c>
      <c r="G1677" s="36" t="s">
        <v>14</v>
      </c>
      <c r="H1677" s="36" t="str">
        <f>IFERROR(VLOOKUP(Table2[[#This Row], [Ticket]],Okey!A:B,2,0),"")</f>
        <v/>
      </c>
      <c r="I1677" s="36"/>
      <c r="J1677" s="36" t="str">
        <f>VLOOKUP(Table2[[#This Row], [Author]],People!A:B,2,0)</f>
        <v>HC</v>
      </c>
      <c r="M1677" s="36" t="s">
        <v>1613</v>
      </c>
    </row>
    <row r="1678" spans="1:13" x14ac:dyDescent="0.25">
      <c r="A1678" s="49">
        <f t="shared" si="27"/>
        <v>1676</v>
      </c>
      <c r="B1678" s="36" t="s">
        <v>4</v>
      </c>
      <c r="C1678" s="36" t="s">
        <v>7588</v>
      </c>
      <c r="D1678" s="9" t="s">
        <v>7060</v>
      </c>
      <c r="E1678" s="9" t="s">
        <v>7480</v>
      </c>
      <c r="F1678" s="9" t="s">
        <v>6718</v>
      </c>
      <c r="G1678" s="36" t="s">
        <v>14</v>
      </c>
      <c r="H1678" s="36" t="str">
        <f>IFERROR(VLOOKUP(Table2[[#This Row], [Ticket]],Okey!A:B,2,0),"")</f>
        <v/>
      </c>
      <c r="I1678" s="36"/>
      <c r="J1678" s="36" t="str">
        <f>VLOOKUP(Table2[[#This Row], [Author]],People!A:B,2,0)</f>
        <v>HC</v>
      </c>
      <c r="M1678" s="36" t="s">
        <v>1613</v>
      </c>
    </row>
    <row r="1679" spans="1:13" x14ac:dyDescent="0.25">
      <c r="A1679" s="49">
        <f t="shared" si="27"/>
        <v>1677</v>
      </c>
      <c r="B1679" s="36" t="s">
        <v>4</v>
      </c>
      <c r="C1679" s="36" t="s">
        <v>7588</v>
      </c>
      <c r="D1679" s="9" t="s">
        <v>7061</v>
      </c>
      <c r="E1679" s="9" t="s">
        <v>7481</v>
      </c>
      <c r="F1679" s="9" t="s">
        <v>7060</v>
      </c>
      <c r="G1679" s="36" t="s">
        <v>14</v>
      </c>
      <c r="H1679" s="36" t="str">
        <f>IFERROR(VLOOKUP(Table2[[#This Row], [Ticket]],Okey!A:B,2,0),"")</f>
        <v/>
      </c>
      <c r="I1679" s="36"/>
      <c r="J1679" s="36" t="str">
        <f>VLOOKUP(Table2[[#This Row], [Author]],People!A:B,2,0)</f>
        <v>HC</v>
      </c>
      <c r="M1679" s="36" t="s">
        <v>1613</v>
      </c>
    </row>
    <row r="1680" spans="1:13" x14ac:dyDescent="0.25">
      <c r="A1680" s="49">
        <f t="shared" si="27"/>
        <v>1678</v>
      </c>
      <c r="B1680" s="36" t="s">
        <v>4</v>
      </c>
      <c r="C1680" s="36" t="s">
        <v>7588</v>
      </c>
      <c r="D1680" s="9" t="s">
        <v>7062</v>
      </c>
      <c r="E1680" s="9" t="s">
        <v>7482</v>
      </c>
      <c r="F1680" s="9" t="s">
        <v>7060</v>
      </c>
      <c r="G1680" s="36" t="s">
        <v>14</v>
      </c>
      <c r="H1680" s="36" t="str">
        <f>IFERROR(VLOOKUP(Table2[[#This Row], [Ticket]],Okey!A:B,2,0),"")</f>
        <v/>
      </c>
      <c r="I1680" s="36"/>
      <c r="J1680" s="36" t="str">
        <f>VLOOKUP(Table2[[#This Row], [Author]],People!A:B,2,0)</f>
        <v>HC</v>
      </c>
      <c r="M1680" s="36" t="s">
        <v>1613</v>
      </c>
    </row>
    <row r="1681" spans="1:13" x14ac:dyDescent="0.25">
      <c r="A1681" s="49">
        <f t="shared" si="27"/>
        <v>1679</v>
      </c>
      <c r="B1681" s="36" t="s">
        <v>4</v>
      </c>
      <c r="C1681" s="36" t="s">
        <v>7588</v>
      </c>
      <c r="D1681" s="9" t="s">
        <v>7063</v>
      </c>
      <c r="E1681" s="9" t="s">
        <v>7483</v>
      </c>
      <c r="F1681" s="9" t="s">
        <v>7062</v>
      </c>
      <c r="G1681" s="36" t="s">
        <v>14</v>
      </c>
      <c r="H1681" s="36" t="str">
        <f>IFERROR(VLOOKUP(Table2[[#This Row], [Ticket]],Okey!A:B,2,0),"")</f>
        <v/>
      </c>
      <c r="I1681" s="36"/>
      <c r="J1681" s="36" t="str">
        <f>VLOOKUP(Table2[[#This Row], [Author]],People!A:B,2,0)</f>
        <v>HC</v>
      </c>
      <c r="M1681" s="36" t="s">
        <v>1613</v>
      </c>
    </row>
    <row r="1682" spans="1:13" x14ac:dyDescent="0.25">
      <c r="A1682" s="49">
        <f t="shared" si="27"/>
        <v>1680</v>
      </c>
      <c r="B1682" s="36" t="s">
        <v>4</v>
      </c>
      <c r="C1682" s="36" t="s">
        <v>7588</v>
      </c>
      <c r="D1682" s="9" t="s">
        <v>7064</v>
      </c>
      <c r="E1682" s="9" t="s">
        <v>7484</v>
      </c>
      <c r="F1682" s="9" t="s">
        <v>7062</v>
      </c>
      <c r="G1682" s="36" t="s">
        <v>14</v>
      </c>
      <c r="H1682" s="36" t="str">
        <f>IFERROR(VLOOKUP(Table2[[#This Row], [Ticket]],Okey!A:B,2,0),"")</f>
        <v/>
      </c>
      <c r="I1682" s="36"/>
      <c r="J1682" s="36" t="str">
        <f>VLOOKUP(Table2[[#This Row], [Author]],People!A:B,2,0)</f>
        <v>HC</v>
      </c>
      <c r="M1682" s="36" t="s">
        <v>1613</v>
      </c>
    </row>
    <row r="1683" spans="1:13" x14ac:dyDescent="0.25">
      <c r="A1683" s="49">
        <f t="shared" si="27"/>
        <v>1681</v>
      </c>
      <c r="B1683" s="36" t="s">
        <v>4</v>
      </c>
      <c r="C1683" s="36" t="s">
        <v>7588</v>
      </c>
      <c r="D1683" s="9" t="s">
        <v>7065</v>
      </c>
      <c r="E1683" s="9" t="s">
        <v>7485</v>
      </c>
      <c r="F1683" s="9" t="s">
        <v>7060</v>
      </c>
      <c r="G1683" s="36" t="s">
        <v>14</v>
      </c>
      <c r="H1683" s="36" t="str">
        <f>IFERROR(VLOOKUP(Table2[[#This Row], [Ticket]],Okey!A:B,2,0),"")</f>
        <v/>
      </c>
      <c r="I1683" s="36"/>
      <c r="J1683" s="36" t="str">
        <f>VLOOKUP(Table2[[#This Row], [Author]],People!A:B,2,0)</f>
        <v>HC</v>
      </c>
      <c r="M1683" s="36" t="s">
        <v>1613</v>
      </c>
    </row>
    <row r="1684" spans="1:13" x14ac:dyDescent="0.25">
      <c r="A1684" s="49">
        <f t="shared" si="27"/>
        <v>1682</v>
      </c>
      <c r="B1684" s="36" t="s">
        <v>4</v>
      </c>
      <c r="C1684" s="36" t="s">
        <v>7588</v>
      </c>
      <c r="D1684" s="9" t="s">
        <v>7066</v>
      </c>
      <c r="E1684" s="9" t="s">
        <v>7486</v>
      </c>
      <c r="F1684" s="9" t="s">
        <v>7065</v>
      </c>
      <c r="G1684" s="36" t="s">
        <v>14</v>
      </c>
      <c r="H1684" s="36" t="str">
        <f>IFERROR(VLOOKUP(Table2[[#This Row], [Ticket]],Okey!A:B,2,0),"")</f>
        <v/>
      </c>
      <c r="I1684" s="36"/>
      <c r="J1684" s="36" t="str">
        <f>VLOOKUP(Table2[[#This Row], [Author]],People!A:B,2,0)</f>
        <v>HC</v>
      </c>
      <c r="M1684" s="36" t="s">
        <v>1613</v>
      </c>
    </row>
    <row r="1685" spans="1:13" x14ac:dyDescent="0.25">
      <c r="A1685" s="49">
        <f t="shared" ref="A1685:A1748" si="28">1+A1684</f>
        <v>1683</v>
      </c>
      <c r="B1685" s="36" t="s">
        <v>4</v>
      </c>
      <c r="C1685" s="36" t="s">
        <v>7588</v>
      </c>
      <c r="D1685" s="9" t="s">
        <v>7067</v>
      </c>
      <c r="E1685" s="9" t="s">
        <v>7487</v>
      </c>
      <c r="F1685" s="9" t="s">
        <v>7065</v>
      </c>
      <c r="G1685" s="36" t="s">
        <v>14</v>
      </c>
      <c r="H1685" s="36" t="str">
        <f>IFERROR(VLOOKUP(Table2[[#This Row], [Ticket]],Okey!A:B,2,0),"")</f>
        <v/>
      </c>
      <c r="I1685" s="36"/>
      <c r="J1685" s="36" t="str">
        <f>VLOOKUP(Table2[[#This Row], [Author]],People!A:B,2,0)</f>
        <v>HC</v>
      </c>
      <c r="M1685" s="36" t="s">
        <v>1613</v>
      </c>
    </row>
    <row r="1686" spans="1:13" x14ac:dyDescent="0.25">
      <c r="A1686" s="49">
        <f t="shared" si="28"/>
        <v>1684</v>
      </c>
      <c r="B1686" s="36" t="s">
        <v>4</v>
      </c>
      <c r="C1686" s="36" t="s">
        <v>7588</v>
      </c>
      <c r="D1686" s="9" t="s">
        <v>7068</v>
      </c>
      <c r="E1686" s="9" t="s">
        <v>7488</v>
      </c>
      <c r="F1686" s="9" t="s">
        <v>6716</v>
      </c>
      <c r="G1686" s="36" t="s">
        <v>14</v>
      </c>
      <c r="H1686" s="36" t="str">
        <f>IFERROR(VLOOKUP(Table2[[#This Row], [Ticket]],Okey!A:B,2,0),"")</f>
        <v/>
      </c>
      <c r="I1686" s="36"/>
      <c r="J1686" s="36" t="str">
        <f>VLOOKUP(Table2[[#This Row], [Author]],People!A:B,2,0)</f>
        <v>HC</v>
      </c>
      <c r="M1686" s="36" t="s">
        <v>1613</v>
      </c>
    </row>
    <row r="1687" spans="1:13" x14ac:dyDescent="0.25">
      <c r="A1687" s="49">
        <f t="shared" si="28"/>
        <v>1685</v>
      </c>
      <c r="B1687" s="36" t="s">
        <v>4</v>
      </c>
      <c r="C1687" s="36" t="s">
        <v>7588</v>
      </c>
      <c r="D1687" s="9" t="s">
        <v>7069</v>
      </c>
      <c r="E1687" s="9" t="s">
        <v>7489</v>
      </c>
      <c r="F1687" s="9" t="s">
        <v>7068</v>
      </c>
      <c r="G1687" s="36" t="s">
        <v>14</v>
      </c>
      <c r="H1687" s="36" t="str">
        <f>IFERROR(VLOOKUP(Table2[[#This Row], [Ticket]],Okey!A:B,2,0),"")</f>
        <v/>
      </c>
      <c r="I1687" s="36"/>
      <c r="J1687" s="36" t="str">
        <f>VLOOKUP(Table2[[#This Row], [Author]],People!A:B,2,0)</f>
        <v>HC</v>
      </c>
      <c r="M1687" s="36" t="s">
        <v>1613</v>
      </c>
    </row>
    <row r="1688" spans="1:13" x14ac:dyDescent="0.25">
      <c r="A1688" s="49">
        <f t="shared" si="28"/>
        <v>1686</v>
      </c>
      <c r="B1688" s="36" t="s">
        <v>4</v>
      </c>
      <c r="C1688" s="36" t="s">
        <v>7588</v>
      </c>
      <c r="D1688" s="9" t="s">
        <v>7070</v>
      </c>
      <c r="E1688" s="9" t="s">
        <v>7490</v>
      </c>
      <c r="F1688" s="9" t="s">
        <v>7068</v>
      </c>
      <c r="G1688" s="36" t="s">
        <v>14</v>
      </c>
      <c r="H1688" s="36" t="str">
        <f>IFERROR(VLOOKUP(Table2[[#This Row], [Ticket]],Okey!A:B,2,0),"")</f>
        <v/>
      </c>
      <c r="I1688" s="36"/>
      <c r="J1688" s="36" t="str">
        <f>VLOOKUP(Table2[[#This Row], [Author]],People!A:B,2,0)</f>
        <v>HC</v>
      </c>
      <c r="M1688" s="36" t="s">
        <v>1613</v>
      </c>
    </row>
    <row r="1689" spans="1:13" x14ac:dyDescent="0.25">
      <c r="A1689" s="49">
        <f t="shared" si="28"/>
        <v>1687</v>
      </c>
      <c r="B1689" s="36" t="s">
        <v>4</v>
      </c>
      <c r="C1689" s="36" t="s">
        <v>7588</v>
      </c>
      <c r="D1689" s="9" t="s">
        <v>7071</v>
      </c>
      <c r="E1689" s="9" t="s">
        <v>7491</v>
      </c>
      <c r="F1689" s="9" t="s">
        <v>7068</v>
      </c>
      <c r="G1689" s="36" t="s">
        <v>14</v>
      </c>
      <c r="H1689" s="36" t="str">
        <f>IFERROR(VLOOKUP(Table2[[#This Row], [Ticket]],Okey!A:B,2,0),"")</f>
        <v/>
      </c>
      <c r="I1689" s="36"/>
      <c r="J1689" s="36" t="str">
        <f>VLOOKUP(Table2[[#This Row], [Author]],People!A:B,2,0)</f>
        <v>HC</v>
      </c>
      <c r="M1689" s="36" t="s">
        <v>1613</v>
      </c>
    </row>
    <row r="1690" spans="1:13" x14ac:dyDescent="0.25">
      <c r="A1690" s="49">
        <f t="shared" si="28"/>
        <v>1688</v>
      </c>
      <c r="B1690" s="36" t="s">
        <v>4</v>
      </c>
      <c r="C1690" s="36" t="s">
        <v>7588</v>
      </c>
      <c r="D1690" s="9" t="s">
        <v>7072</v>
      </c>
      <c r="E1690" s="9" t="s">
        <v>7492</v>
      </c>
      <c r="F1690" s="9" t="s">
        <v>7071</v>
      </c>
      <c r="G1690" s="36" t="s">
        <v>14</v>
      </c>
      <c r="H1690" s="36" t="str">
        <f>IFERROR(VLOOKUP(Table2[[#This Row], [Ticket]],Okey!A:B,2,0),"")</f>
        <v/>
      </c>
      <c r="I1690" s="36"/>
      <c r="J1690" s="36" t="str">
        <f>VLOOKUP(Table2[[#This Row], [Author]],People!A:B,2,0)</f>
        <v>HC</v>
      </c>
      <c r="M1690" s="36" t="s">
        <v>1613</v>
      </c>
    </row>
    <row r="1691" spans="1:13" x14ac:dyDescent="0.25">
      <c r="A1691" s="49">
        <f t="shared" si="28"/>
        <v>1689</v>
      </c>
      <c r="B1691" s="36" t="s">
        <v>4</v>
      </c>
      <c r="C1691" s="36" t="s">
        <v>7588</v>
      </c>
      <c r="D1691" s="9" t="s">
        <v>7073</v>
      </c>
      <c r="E1691" s="9" t="s">
        <v>7493</v>
      </c>
      <c r="F1691" s="9" t="s">
        <v>7071</v>
      </c>
      <c r="G1691" s="36" t="s">
        <v>14</v>
      </c>
      <c r="H1691" s="36" t="str">
        <f>IFERROR(VLOOKUP(Table2[[#This Row], [Ticket]],Okey!A:B,2,0),"")</f>
        <v/>
      </c>
      <c r="I1691" s="36"/>
      <c r="J1691" s="36" t="str">
        <f>VLOOKUP(Table2[[#This Row], [Author]],People!A:B,2,0)</f>
        <v>HC</v>
      </c>
      <c r="M1691" s="36" t="s">
        <v>1613</v>
      </c>
    </row>
    <row r="1692" spans="1:13" x14ac:dyDescent="0.25">
      <c r="A1692" s="49">
        <f t="shared" si="28"/>
        <v>1690</v>
      </c>
      <c r="B1692" s="36" t="s">
        <v>4</v>
      </c>
      <c r="C1692" s="36" t="s">
        <v>7588</v>
      </c>
      <c r="D1692" s="9" t="s">
        <v>7074</v>
      </c>
      <c r="E1692" s="9" t="s">
        <v>7494</v>
      </c>
      <c r="F1692" s="9" t="s">
        <v>7068</v>
      </c>
      <c r="G1692" s="36" t="s">
        <v>14</v>
      </c>
      <c r="H1692" s="36" t="str">
        <f>IFERROR(VLOOKUP(Table2[[#This Row], [Ticket]],Okey!A:B,2,0),"")</f>
        <v/>
      </c>
      <c r="I1692" s="36"/>
      <c r="J1692" s="36" t="str">
        <f>VLOOKUP(Table2[[#This Row], [Author]],People!A:B,2,0)</f>
        <v>HC</v>
      </c>
      <c r="M1692" s="36" t="s">
        <v>1613</v>
      </c>
    </row>
    <row r="1693" spans="1:13" x14ac:dyDescent="0.25">
      <c r="A1693" s="49">
        <f t="shared" si="28"/>
        <v>1691</v>
      </c>
      <c r="B1693" s="36" t="s">
        <v>4</v>
      </c>
      <c r="C1693" s="36" t="s">
        <v>7588</v>
      </c>
      <c r="D1693" s="9" t="s">
        <v>7075</v>
      </c>
      <c r="E1693" s="9" t="s">
        <v>7495</v>
      </c>
      <c r="F1693" s="9" t="s">
        <v>7074</v>
      </c>
      <c r="G1693" s="36" t="s">
        <v>14</v>
      </c>
      <c r="H1693" s="36" t="str">
        <f>IFERROR(VLOOKUP(Table2[[#This Row], [Ticket]],Okey!A:B,2,0),"")</f>
        <v/>
      </c>
      <c r="I1693" s="36"/>
      <c r="J1693" s="36" t="str">
        <f>VLOOKUP(Table2[[#This Row], [Author]],People!A:B,2,0)</f>
        <v>HC</v>
      </c>
      <c r="M1693" s="36" t="s">
        <v>1613</v>
      </c>
    </row>
    <row r="1694" spans="1:13" x14ac:dyDescent="0.25">
      <c r="A1694" s="49">
        <f t="shared" si="28"/>
        <v>1692</v>
      </c>
      <c r="B1694" s="36" t="s">
        <v>4</v>
      </c>
      <c r="C1694" s="36" t="s">
        <v>7588</v>
      </c>
      <c r="D1694" s="9" t="s">
        <v>7076</v>
      </c>
      <c r="E1694" s="9" t="s">
        <v>7496</v>
      </c>
      <c r="F1694" s="9" t="s">
        <v>7074</v>
      </c>
      <c r="G1694" s="36" t="s">
        <v>14</v>
      </c>
      <c r="H1694" s="36" t="str">
        <f>IFERROR(VLOOKUP(Table2[[#This Row], [Ticket]],Okey!A:B,2,0),"")</f>
        <v/>
      </c>
      <c r="I1694" s="36"/>
      <c r="J1694" s="36" t="str">
        <f>VLOOKUP(Table2[[#This Row], [Author]],People!A:B,2,0)</f>
        <v>HC</v>
      </c>
      <c r="M1694" s="36" t="s">
        <v>1613</v>
      </c>
    </row>
    <row r="1695" spans="1:13" x14ac:dyDescent="0.25">
      <c r="A1695" s="49">
        <f t="shared" si="28"/>
        <v>1693</v>
      </c>
      <c r="B1695" s="36" t="s">
        <v>4</v>
      </c>
      <c r="C1695" s="36" t="s">
        <v>7588</v>
      </c>
      <c r="D1695" s="9" t="s">
        <v>7077</v>
      </c>
      <c r="E1695" s="9" t="s">
        <v>7497</v>
      </c>
      <c r="F1695" s="9" t="s">
        <v>7074</v>
      </c>
      <c r="G1695" s="36" t="s">
        <v>14</v>
      </c>
      <c r="H1695" s="36" t="str">
        <f>IFERROR(VLOOKUP(Table2[[#This Row], [Ticket]],Okey!A:B,2,0),"")</f>
        <v/>
      </c>
      <c r="I1695" s="36"/>
      <c r="J1695" s="36" t="str">
        <f>VLOOKUP(Table2[[#This Row], [Author]],People!A:B,2,0)</f>
        <v>HC</v>
      </c>
      <c r="M1695" s="36" t="s">
        <v>1613</v>
      </c>
    </row>
    <row r="1696" spans="1:13" x14ac:dyDescent="0.25">
      <c r="A1696" s="49">
        <f t="shared" si="28"/>
        <v>1694</v>
      </c>
      <c r="B1696" s="36" t="s">
        <v>4</v>
      </c>
      <c r="C1696" s="36" t="s">
        <v>7588</v>
      </c>
      <c r="D1696" s="9" t="s">
        <v>7078</v>
      </c>
      <c r="E1696" s="9" t="s">
        <v>7498</v>
      </c>
      <c r="F1696" s="9" t="s">
        <v>7074</v>
      </c>
      <c r="G1696" s="36" t="s">
        <v>14</v>
      </c>
      <c r="H1696" s="36" t="str">
        <f>IFERROR(VLOOKUP(Table2[[#This Row], [Ticket]],Okey!A:B,2,0),"")</f>
        <v/>
      </c>
      <c r="I1696" s="36"/>
      <c r="J1696" s="36" t="str">
        <f>VLOOKUP(Table2[[#This Row], [Author]],People!A:B,2,0)</f>
        <v>HC</v>
      </c>
      <c r="M1696" s="36" t="s">
        <v>1613</v>
      </c>
    </row>
    <row r="1697" spans="1:13" x14ac:dyDescent="0.25">
      <c r="A1697" s="49">
        <f t="shared" si="28"/>
        <v>1695</v>
      </c>
      <c r="B1697" s="36" t="s">
        <v>4</v>
      </c>
      <c r="C1697" s="36" t="s">
        <v>7588</v>
      </c>
      <c r="D1697" s="9" t="s">
        <v>7079</v>
      </c>
      <c r="E1697" s="9" t="s">
        <v>7499</v>
      </c>
      <c r="F1697" s="9" t="s">
        <v>7074</v>
      </c>
      <c r="G1697" s="36" t="s">
        <v>14</v>
      </c>
      <c r="H1697" s="36" t="str">
        <f>IFERROR(VLOOKUP(Table2[[#This Row], [Ticket]],Okey!A:B,2,0),"")</f>
        <v/>
      </c>
      <c r="I1697" s="36"/>
      <c r="J1697" s="36" t="str">
        <f>VLOOKUP(Table2[[#This Row], [Author]],People!A:B,2,0)</f>
        <v>HC</v>
      </c>
      <c r="M1697" s="36" t="s">
        <v>1613</v>
      </c>
    </row>
    <row r="1698" spans="1:13" x14ac:dyDescent="0.25">
      <c r="A1698" s="49">
        <f t="shared" si="28"/>
        <v>1696</v>
      </c>
      <c r="B1698" s="36" t="s">
        <v>4</v>
      </c>
      <c r="C1698" s="36" t="s">
        <v>7588</v>
      </c>
      <c r="D1698" s="9" t="s">
        <v>7080</v>
      </c>
      <c r="E1698" s="9" t="s">
        <v>7500</v>
      </c>
      <c r="F1698" s="9" t="s">
        <v>6718</v>
      </c>
      <c r="G1698" s="36" t="s">
        <v>14</v>
      </c>
      <c r="H1698" s="36" t="str">
        <f>IFERROR(VLOOKUP(Table2[[#This Row], [Ticket]],Okey!A:B,2,0),"")</f>
        <v/>
      </c>
      <c r="I1698" s="36"/>
      <c r="J1698" s="36" t="str">
        <f>VLOOKUP(Table2[[#This Row], [Author]],People!A:B,2,0)</f>
        <v>HC</v>
      </c>
      <c r="M1698" s="36" t="s">
        <v>1613</v>
      </c>
    </row>
    <row r="1699" spans="1:13" x14ac:dyDescent="0.25">
      <c r="A1699" s="49">
        <f t="shared" si="28"/>
        <v>1697</v>
      </c>
      <c r="B1699" s="36" t="s">
        <v>4</v>
      </c>
      <c r="C1699" s="36" t="s">
        <v>7588</v>
      </c>
      <c r="D1699" s="9" t="s">
        <v>7081</v>
      </c>
      <c r="E1699" s="9" t="s">
        <v>7501</v>
      </c>
      <c r="F1699" s="9" t="s">
        <v>7080</v>
      </c>
      <c r="G1699" s="36" t="s">
        <v>14</v>
      </c>
      <c r="H1699" s="36" t="str">
        <f>IFERROR(VLOOKUP(Table2[[#This Row], [Ticket]],Okey!A:B,2,0),"")</f>
        <v/>
      </c>
      <c r="I1699" s="36"/>
      <c r="J1699" s="36" t="str">
        <f>VLOOKUP(Table2[[#This Row], [Author]],People!A:B,2,0)</f>
        <v>HC</v>
      </c>
      <c r="M1699" s="36" t="s">
        <v>1613</v>
      </c>
    </row>
    <row r="1700" spans="1:13" x14ac:dyDescent="0.25">
      <c r="A1700" s="49">
        <f t="shared" si="28"/>
        <v>1698</v>
      </c>
      <c r="B1700" s="36" t="s">
        <v>4</v>
      </c>
      <c r="C1700" s="36" t="s">
        <v>7588</v>
      </c>
      <c r="D1700" s="9" t="s">
        <v>7082</v>
      </c>
      <c r="E1700" s="9" t="s">
        <v>7502</v>
      </c>
      <c r="F1700" s="9" t="s">
        <v>7080</v>
      </c>
      <c r="G1700" s="36" t="s">
        <v>14</v>
      </c>
      <c r="H1700" s="36" t="str">
        <f>IFERROR(VLOOKUP(Table2[[#This Row], [Ticket]],Okey!A:B,2,0),"")</f>
        <v/>
      </c>
      <c r="I1700" s="36"/>
      <c r="J1700" s="36" t="str">
        <f>VLOOKUP(Table2[[#This Row], [Author]],People!A:B,2,0)</f>
        <v>HC</v>
      </c>
      <c r="M1700" s="36" t="s">
        <v>1613</v>
      </c>
    </row>
    <row r="1701" spans="1:13" x14ac:dyDescent="0.25">
      <c r="A1701" s="49">
        <f t="shared" si="28"/>
        <v>1699</v>
      </c>
      <c r="B1701" s="36" t="s">
        <v>4</v>
      </c>
      <c r="C1701" s="36" t="s">
        <v>7588</v>
      </c>
      <c r="D1701" s="9" t="s">
        <v>7083</v>
      </c>
      <c r="E1701" s="9" t="s">
        <v>7503</v>
      </c>
      <c r="F1701" s="9" t="s">
        <v>7082</v>
      </c>
      <c r="G1701" s="36" t="s">
        <v>14</v>
      </c>
      <c r="H1701" s="36" t="str">
        <f>IFERROR(VLOOKUP(Table2[[#This Row], [Ticket]],Okey!A:B,2,0),"")</f>
        <v/>
      </c>
      <c r="I1701" s="36"/>
      <c r="J1701" s="36" t="str">
        <f>VLOOKUP(Table2[[#This Row], [Author]],People!A:B,2,0)</f>
        <v>HC</v>
      </c>
      <c r="M1701" s="36" t="s">
        <v>1613</v>
      </c>
    </row>
    <row r="1702" spans="1:13" x14ac:dyDescent="0.25">
      <c r="A1702" s="49">
        <f t="shared" si="28"/>
        <v>1700</v>
      </c>
      <c r="B1702" s="36" t="s">
        <v>4</v>
      </c>
      <c r="C1702" s="36" t="s">
        <v>7588</v>
      </c>
      <c r="D1702" s="9" t="s">
        <v>7084</v>
      </c>
      <c r="E1702" s="9" t="s">
        <v>7504</v>
      </c>
      <c r="F1702" s="9" t="s">
        <v>7082</v>
      </c>
      <c r="G1702" s="36" t="s">
        <v>14</v>
      </c>
      <c r="H1702" s="36" t="str">
        <f>IFERROR(VLOOKUP(Table2[[#This Row], [Ticket]],Okey!A:B,2,0),"")</f>
        <v/>
      </c>
      <c r="I1702" s="36"/>
      <c r="J1702" s="36" t="str">
        <f>VLOOKUP(Table2[[#This Row], [Author]],People!A:B,2,0)</f>
        <v>HC</v>
      </c>
      <c r="M1702" s="36" t="s">
        <v>1613</v>
      </c>
    </row>
    <row r="1703" spans="1:13" x14ac:dyDescent="0.25">
      <c r="A1703" s="49">
        <f t="shared" si="28"/>
        <v>1701</v>
      </c>
      <c r="B1703" s="36" t="s">
        <v>4</v>
      </c>
      <c r="C1703" s="36" t="s">
        <v>7588</v>
      </c>
      <c r="D1703" s="9" t="s">
        <v>7085</v>
      </c>
      <c r="E1703" s="9" t="s">
        <v>7505</v>
      </c>
      <c r="F1703" s="9" t="s">
        <v>7080</v>
      </c>
      <c r="G1703" s="36" t="s">
        <v>14</v>
      </c>
      <c r="H1703" s="36" t="str">
        <f>IFERROR(VLOOKUP(Table2[[#This Row], [Ticket]],Okey!A:B,2,0),"")</f>
        <v/>
      </c>
      <c r="I1703" s="36"/>
      <c r="J1703" s="36" t="str">
        <f>VLOOKUP(Table2[[#This Row], [Author]],People!A:B,2,0)</f>
        <v>HC</v>
      </c>
      <c r="M1703" s="36" t="s">
        <v>1613</v>
      </c>
    </row>
    <row r="1704" spans="1:13" x14ac:dyDescent="0.25">
      <c r="A1704" s="49">
        <f t="shared" si="28"/>
        <v>1702</v>
      </c>
      <c r="B1704" s="36" t="s">
        <v>4</v>
      </c>
      <c r="C1704" s="36" t="s">
        <v>7588</v>
      </c>
      <c r="D1704" s="9" t="s">
        <v>7086</v>
      </c>
      <c r="E1704" s="9" t="s">
        <v>7506</v>
      </c>
      <c r="F1704" s="9" t="s">
        <v>7085</v>
      </c>
      <c r="G1704" s="36" t="s">
        <v>14</v>
      </c>
      <c r="H1704" s="36" t="str">
        <f>IFERROR(VLOOKUP(Table2[[#This Row], [Ticket]],Okey!A:B,2,0),"")</f>
        <v/>
      </c>
      <c r="I1704" s="36"/>
      <c r="J1704" s="36" t="str">
        <f>VLOOKUP(Table2[[#This Row], [Author]],People!A:B,2,0)</f>
        <v>HC</v>
      </c>
      <c r="M1704" s="36" t="s">
        <v>1613</v>
      </c>
    </row>
    <row r="1705" spans="1:13" x14ac:dyDescent="0.25">
      <c r="A1705" s="49">
        <f t="shared" si="28"/>
        <v>1703</v>
      </c>
      <c r="B1705" s="36" t="s">
        <v>4</v>
      </c>
      <c r="C1705" s="36" t="s">
        <v>7588</v>
      </c>
      <c r="D1705" s="9" t="s">
        <v>7087</v>
      </c>
      <c r="E1705" s="9" t="s">
        <v>7507</v>
      </c>
      <c r="F1705" s="9" t="s">
        <v>7085</v>
      </c>
      <c r="G1705" s="36" t="s">
        <v>14</v>
      </c>
      <c r="H1705" s="36" t="str">
        <f>IFERROR(VLOOKUP(Table2[[#This Row], [Ticket]],Okey!A:B,2,0),"")</f>
        <v/>
      </c>
      <c r="I1705" s="36"/>
      <c r="J1705" s="36" t="str">
        <f>VLOOKUP(Table2[[#This Row], [Author]],People!A:B,2,0)</f>
        <v>HC</v>
      </c>
      <c r="M1705" s="36" t="s">
        <v>1613</v>
      </c>
    </row>
    <row r="1706" spans="1:13" x14ac:dyDescent="0.25">
      <c r="A1706" s="49">
        <f t="shared" si="28"/>
        <v>1704</v>
      </c>
      <c r="B1706" s="36" t="s">
        <v>4</v>
      </c>
      <c r="C1706" s="36" t="s">
        <v>7588</v>
      </c>
      <c r="D1706" s="9" t="s">
        <v>7088</v>
      </c>
      <c r="E1706" s="9" t="s">
        <v>7508</v>
      </c>
      <c r="F1706" s="9" t="s">
        <v>6716</v>
      </c>
      <c r="G1706" s="36" t="s">
        <v>14</v>
      </c>
      <c r="H1706" s="36" t="str">
        <f>IFERROR(VLOOKUP(Table2[[#This Row], [Ticket]],Okey!A:B,2,0),"")</f>
        <v/>
      </c>
      <c r="I1706" s="36"/>
      <c r="J1706" s="36" t="str">
        <f>VLOOKUP(Table2[[#This Row], [Author]],People!A:B,2,0)</f>
        <v>HC</v>
      </c>
      <c r="M1706" s="36" t="s">
        <v>1613</v>
      </c>
    </row>
    <row r="1707" spans="1:13" x14ac:dyDescent="0.25">
      <c r="A1707" s="49">
        <f t="shared" si="28"/>
        <v>1705</v>
      </c>
      <c r="B1707" s="36" t="s">
        <v>4</v>
      </c>
      <c r="C1707" s="36" t="s">
        <v>7588</v>
      </c>
      <c r="D1707" s="9" t="s">
        <v>7089</v>
      </c>
      <c r="E1707" s="9" t="s">
        <v>7509</v>
      </c>
      <c r="F1707" s="9" t="s">
        <v>7088</v>
      </c>
      <c r="G1707" s="36" t="s">
        <v>14</v>
      </c>
      <c r="H1707" s="36" t="str">
        <f>IFERROR(VLOOKUP(Table2[[#This Row], [Ticket]],Okey!A:B,2,0),"")</f>
        <v/>
      </c>
      <c r="I1707" s="36"/>
      <c r="J1707" s="36" t="str">
        <f>VLOOKUP(Table2[[#This Row], [Author]],People!A:B,2,0)</f>
        <v>HC</v>
      </c>
      <c r="M1707" s="36" t="s">
        <v>1613</v>
      </c>
    </row>
    <row r="1708" spans="1:13" x14ac:dyDescent="0.25">
      <c r="A1708" s="49">
        <f t="shared" si="28"/>
        <v>1706</v>
      </c>
      <c r="B1708" s="36" t="s">
        <v>4</v>
      </c>
      <c r="C1708" s="36" t="s">
        <v>7588</v>
      </c>
      <c r="D1708" s="9" t="s">
        <v>7090</v>
      </c>
      <c r="E1708" s="9" t="s">
        <v>7510</v>
      </c>
      <c r="F1708" s="9" t="s">
        <v>7088</v>
      </c>
      <c r="G1708" s="36" t="s">
        <v>14</v>
      </c>
      <c r="H1708" s="36" t="str">
        <f>IFERROR(VLOOKUP(Table2[[#This Row], [Ticket]],Okey!A:B,2,0),"")</f>
        <v/>
      </c>
      <c r="I1708" s="36"/>
      <c r="J1708" s="36" t="str">
        <f>VLOOKUP(Table2[[#This Row], [Author]],People!A:B,2,0)</f>
        <v>HC</v>
      </c>
      <c r="M1708" s="36" t="s">
        <v>1613</v>
      </c>
    </row>
    <row r="1709" spans="1:13" x14ac:dyDescent="0.25">
      <c r="A1709" s="49">
        <f t="shared" si="28"/>
        <v>1707</v>
      </c>
      <c r="B1709" s="36" t="s">
        <v>4</v>
      </c>
      <c r="C1709" s="36" t="s">
        <v>7588</v>
      </c>
      <c r="D1709" s="9" t="s">
        <v>7091</v>
      </c>
      <c r="E1709" s="9" t="s">
        <v>7511</v>
      </c>
      <c r="F1709" s="9" t="s">
        <v>7088</v>
      </c>
      <c r="G1709" s="36" t="s">
        <v>14</v>
      </c>
      <c r="H1709" s="36" t="str">
        <f>IFERROR(VLOOKUP(Table2[[#This Row], [Ticket]],Okey!A:B,2,0),"")</f>
        <v/>
      </c>
      <c r="I1709" s="36"/>
      <c r="J1709" s="36" t="str">
        <f>VLOOKUP(Table2[[#This Row], [Author]],People!A:B,2,0)</f>
        <v>HC</v>
      </c>
      <c r="M1709" s="36" t="s">
        <v>1613</v>
      </c>
    </row>
    <row r="1710" spans="1:13" x14ac:dyDescent="0.25">
      <c r="A1710" s="49">
        <f t="shared" si="28"/>
        <v>1708</v>
      </c>
      <c r="B1710" s="36" t="s">
        <v>4</v>
      </c>
      <c r="C1710" s="36" t="s">
        <v>7588</v>
      </c>
      <c r="D1710" s="9" t="s">
        <v>7092</v>
      </c>
      <c r="E1710" s="9" t="s">
        <v>7512</v>
      </c>
      <c r="F1710" s="9" t="s">
        <v>7091</v>
      </c>
      <c r="G1710" s="36" t="s">
        <v>14</v>
      </c>
      <c r="H1710" s="36" t="str">
        <f>IFERROR(VLOOKUP(Table2[[#This Row], [Ticket]],Okey!A:B,2,0),"")</f>
        <v/>
      </c>
      <c r="I1710" s="36"/>
      <c r="J1710" s="36" t="str">
        <f>VLOOKUP(Table2[[#This Row], [Author]],People!A:B,2,0)</f>
        <v>HC</v>
      </c>
      <c r="M1710" s="36" t="s">
        <v>1613</v>
      </c>
    </row>
    <row r="1711" spans="1:13" x14ac:dyDescent="0.25">
      <c r="A1711" s="49">
        <f t="shared" si="28"/>
        <v>1709</v>
      </c>
      <c r="B1711" s="36" t="s">
        <v>4</v>
      </c>
      <c r="C1711" s="36" t="s">
        <v>7588</v>
      </c>
      <c r="D1711" s="9" t="s">
        <v>7093</v>
      </c>
      <c r="E1711" s="9" t="s">
        <v>7513</v>
      </c>
      <c r="F1711" s="9" t="s">
        <v>7091</v>
      </c>
      <c r="G1711" s="36" t="s">
        <v>14</v>
      </c>
      <c r="H1711" s="36" t="str">
        <f>IFERROR(VLOOKUP(Table2[[#This Row], [Ticket]],Okey!A:B,2,0),"")</f>
        <v/>
      </c>
      <c r="I1711" s="36"/>
      <c r="J1711" s="36" t="str">
        <f>VLOOKUP(Table2[[#This Row], [Author]],People!A:B,2,0)</f>
        <v>HC</v>
      </c>
      <c r="M1711" s="36" t="s">
        <v>1613</v>
      </c>
    </row>
    <row r="1712" spans="1:13" x14ac:dyDescent="0.25">
      <c r="A1712" s="49">
        <f t="shared" si="28"/>
        <v>1710</v>
      </c>
      <c r="B1712" s="36" t="s">
        <v>4</v>
      </c>
      <c r="C1712" s="36" t="s">
        <v>7588</v>
      </c>
      <c r="D1712" s="9" t="s">
        <v>7094</v>
      </c>
      <c r="E1712" s="9" t="s">
        <v>7514</v>
      </c>
      <c r="F1712" s="9" t="s">
        <v>7088</v>
      </c>
      <c r="G1712" s="36" t="s">
        <v>14</v>
      </c>
      <c r="H1712" s="36" t="str">
        <f>IFERROR(VLOOKUP(Table2[[#This Row], [Ticket]],Okey!A:B,2,0),"")</f>
        <v/>
      </c>
      <c r="I1712" s="36"/>
      <c r="J1712" s="36" t="str">
        <f>VLOOKUP(Table2[[#This Row], [Author]],People!A:B,2,0)</f>
        <v>HC</v>
      </c>
      <c r="M1712" s="36" t="s">
        <v>1613</v>
      </c>
    </row>
    <row r="1713" spans="1:13" x14ac:dyDescent="0.25">
      <c r="A1713" s="49">
        <f t="shared" si="28"/>
        <v>1711</v>
      </c>
      <c r="B1713" s="36" t="s">
        <v>4</v>
      </c>
      <c r="C1713" s="36" t="s">
        <v>7588</v>
      </c>
      <c r="D1713" s="9" t="s">
        <v>7095</v>
      </c>
      <c r="E1713" s="9" t="s">
        <v>7515</v>
      </c>
      <c r="F1713" s="9" t="s">
        <v>7094</v>
      </c>
      <c r="G1713" s="36" t="s">
        <v>14</v>
      </c>
      <c r="H1713" s="36" t="str">
        <f>IFERROR(VLOOKUP(Table2[[#This Row], [Ticket]],Okey!A:B,2,0),"")</f>
        <v/>
      </c>
      <c r="I1713" s="36"/>
      <c r="J1713" s="36" t="str">
        <f>VLOOKUP(Table2[[#This Row], [Author]],People!A:B,2,0)</f>
        <v>HC</v>
      </c>
      <c r="M1713" s="36" t="s">
        <v>1613</v>
      </c>
    </row>
    <row r="1714" spans="1:13" x14ac:dyDescent="0.25">
      <c r="A1714" s="49">
        <f t="shared" si="28"/>
        <v>1712</v>
      </c>
      <c r="B1714" s="36" t="s">
        <v>4</v>
      </c>
      <c r="C1714" s="36" t="s">
        <v>7588</v>
      </c>
      <c r="D1714" s="9" t="s">
        <v>7096</v>
      </c>
      <c r="E1714" s="9" t="s">
        <v>7516</v>
      </c>
      <c r="F1714" s="9" t="s">
        <v>7094</v>
      </c>
      <c r="G1714" s="36" t="s">
        <v>14</v>
      </c>
      <c r="H1714" s="36" t="str">
        <f>IFERROR(VLOOKUP(Table2[[#This Row], [Ticket]],Okey!A:B,2,0),"")</f>
        <v/>
      </c>
      <c r="I1714" s="36"/>
      <c r="J1714" s="36" t="str">
        <f>VLOOKUP(Table2[[#This Row], [Author]],People!A:B,2,0)</f>
        <v>HC</v>
      </c>
      <c r="M1714" s="36" t="s">
        <v>1613</v>
      </c>
    </row>
    <row r="1715" spans="1:13" x14ac:dyDescent="0.25">
      <c r="A1715" s="49">
        <f t="shared" si="28"/>
        <v>1713</v>
      </c>
      <c r="B1715" s="36" t="s">
        <v>4</v>
      </c>
      <c r="C1715" s="36" t="s">
        <v>7588</v>
      </c>
      <c r="D1715" s="9" t="s">
        <v>7097</v>
      </c>
      <c r="E1715" s="9" t="s">
        <v>7517</v>
      </c>
      <c r="F1715" s="9" t="s">
        <v>7094</v>
      </c>
      <c r="G1715" s="36" t="s">
        <v>14</v>
      </c>
      <c r="H1715" s="36" t="str">
        <f>IFERROR(VLOOKUP(Table2[[#This Row], [Ticket]],Okey!A:B,2,0),"")</f>
        <v/>
      </c>
      <c r="I1715" s="36"/>
      <c r="J1715" s="36" t="str">
        <f>VLOOKUP(Table2[[#This Row], [Author]],People!A:B,2,0)</f>
        <v>HC</v>
      </c>
      <c r="M1715" s="36" t="s">
        <v>1613</v>
      </c>
    </row>
    <row r="1716" spans="1:13" x14ac:dyDescent="0.25">
      <c r="A1716" s="49">
        <f t="shared" si="28"/>
        <v>1714</v>
      </c>
      <c r="B1716" s="36" t="s">
        <v>4</v>
      </c>
      <c r="C1716" s="36" t="s">
        <v>7588</v>
      </c>
      <c r="D1716" s="9" t="s">
        <v>7098</v>
      </c>
      <c r="E1716" s="9" t="s">
        <v>7518</v>
      </c>
      <c r="F1716" s="9" t="s">
        <v>7094</v>
      </c>
      <c r="G1716" s="36" t="s">
        <v>14</v>
      </c>
      <c r="H1716" s="36" t="str">
        <f>IFERROR(VLOOKUP(Table2[[#This Row], [Ticket]],Okey!A:B,2,0),"")</f>
        <v/>
      </c>
      <c r="I1716" s="36"/>
      <c r="J1716" s="36" t="str">
        <f>VLOOKUP(Table2[[#This Row], [Author]],People!A:B,2,0)</f>
        <v>HC</v>
      </c>
      <c r="M1716" s="36" t="s">
        <v>1613</v>
      </c>
    </row>
    <row r="1717" spans="1:13" x14ac:dyDescent="0.25">
      <c r="A1717" s="49">
        <f t="shared" si="28"/>
        <v>1715</v>
      </c>
      <c r="B1717" s="36" t="s">
        <v>4</v>
      </c>
      <c r="C1717" s="36" t="s">
        <v>7588</v>
      </c>
      <c r="D1717" s="9" t="s">
        <v>7099</v>
      </c>
      <c r="E1717" s="9" t="s">
        <v>7519</v>
      </c>
      <c r="F1717" s="9" t="s">
        <v>7094</v>
      </c>
      <c r="G1717" s="36" t="s">
        <v>14</v>
      </c>
      <c r="H1717" s="36" t="str">
        <f>IFERROR(VLOOKUP(Table2[[#This Row], [Ticket]],Okey!A:B,2,0),"")</f>
        <v/>
      </c>
      <c r="I1717" s="36"/>
      <c r="J1717" s="36" t="str">
        <f>VLOOKUP(Table2[[#This Row], [Author]],People!A:B,2,0)</f>
        <v>HC</v>
      </c>
      <c r="M1717" s="36" t="s">
        <v>1613</v>
      </c>
    </row>
    <row r="1718" spans="1:13" x14ac:dyDescent="0.25">
      <c r="A1718" s="49">
        <f t="shared" si="28"/>
        <v>1716</v>
      </c>
      <c r="B1718" s="36" t="s">
        <v>4</v>
      </c>
      <c r="C1718" s="36" t="s">
        <v>7588</v>
      </c>
      <c r="D1718" s="9" t="s">
        <v>7100</v>
      </c>
      <c r="E1718" s="9" t="s">
        <v>7520</v>
      </c>
      <c r="F1718" s="9" t="s">
        <v>6718</v>
      </c>
      <c r="G1718" s="36" t="s">
        <v>14</v>
      </c>
      <c r="H1718" s="36" t="str">
        <f>IFERROR(VLOOKUP(Table2[[#This Row], [Ticket]],Okey!A:B,2,0),"")</f>
        <v/>
      </c>
      <c r="I1718" s="36"/>
      <c r="J1718" s="36" t="str">
        <f>VLOOKUP(Table2[[#This Row], [Author]],People!A:B,2,0)</f>
        <v>HC</v>
      </c>
      <c r="M1718" s="36" t="s">
        <v>1613</v>
      </c>
    </row>
    <row r="1719" spans="1:13" x14ac:dyDescent="0.25">
      <c r="A1719" s="49">
        <f t="shared" si="28"/>
        <v>1717</v>
      </c>
      <c r="B1719" s="36" t="s">
        <v>4</v>
      </c>
      <c r="C1719" s="36" t="s">
        <v>7588</v>
      </c>
      <c r="D1719" s="9" t="s">
        <v>7101</v>
      </c>
      <c r="E1719" s="9" t="s">
        <v>7521</v>
      </c>
      <c r="F1719" s="9" t="s">
        <v>7100</v>
      </c>
      <c r="G1719" s="36" t="s">
        <v>14</v>
      </c>
      <c r="H1719" s="36" t="str">
        <f>IFERROR(VLOOKUP(Table2[[#This Row], [Ticket]],Okey!A:B,2,0),"")</f>
        <v/>
      </c>
      <c r="I1719" s="36"/>
      <c r="J1719" s="36" t="str">
        <f>VLOOKUP(Table2[[#This Row], [Author]],People!A:B,2,0)</f>
        <v>HC</v>
      </c>
      <c r="M1719" s="36" t="s">
        <v>1613</v>
      </c>
    </row>
    <row r="1720" spans="1:13" x14ac:dyDescent="0.25">
      <c r="A1720" s="49">
        <f t="shared" si="28"/>
        <v>1718</v>
      </c>
      <c r="B1720" s="36" t="s">
        <v>4</v>
      </c>
      <c r="C1720" s="36" t="s">
        <v>7588</v>
      </c>
      <c r="D1720" s="9" t="s">
        <v>7102</v>
      </c>
      <c r="E1720" s="9" t="s">
        <v>7522</v>
      </c>
      <c r="F1720" s="9" t="s">
        <v>7100</v>
      </c>
      <c r="G1720" s="36" t="s">
        <v>14</v>
      </c>
      <c r="H1720" s="36" t="str">
        <f>IFERROR(VLOOKUP(Table2[[#This Row], [Ticket]],Okey!A:B,2,0),"")</f>
        <v/>
      </c>
      <c r="I1720" s="36"/>
      <c r="J1720" s="36" t="str">
        <f>VLOOKUP(Table2[[#This Row], [Author]],People!A:B,2,0)</f>
        <v>HC</v>
      </c>
      <c r="M1720" s="36" t="s">
        <v>1613</v>
      </c>
    </row>
    <row r="1721" spans="1:13" x14ac:dyDescent="0.25">
      <c r="A1721" s="49">
        <f t="shared" si="28"/>
        <v>1719</v>
      </c>
      <c r="B1721" s="36" t="s">
        <v>4</v>
      </c>
      <c r="C1721" s="36" t="s">
        <v>7588</v>
      </c>
      <c r="D1721" s="9" t="s">
        <v>7103</v>
      </c>
      <c r="E1721" s="9" t="s">
        <v>7523</v>
      </c>
      <c r="F1721" s="9" t="s">
        <v>7102</v>
      </c>
      <c r="G1721" s="36" t="s">
        <v>14</v>
      </c>
      <c r="H1721" s="36" t="str">
        <f>IFERROR(VLOOKUP(Table2[[#This Row], [Ticket]],Okey!A:B,2,0),"")</f>
        <v/>
      </c>
      <c r="I1721" s="36"/>
      <c r="J1721" s="36" t="str">
        <f>VLOOKUP(Table2[[#This Row], [Author]],People!A:B,2,0)</f>
        <v>HC</v>
      </c>
      <c r="M1721" s="36" t="s">
        <v>1613</v>
      </c>
    </row>
    <row r="1722" spans="1:13" x14ac:dyDescent="0.25">
      <c r="A1722" s="49">
        <f t="shared" si="28"/>
        <v>1720</v>
      </c>
      <c r="B1722" s="36" t="s">
        <v>4</v>
      </c>
      <c r="C1722" s="36" t="s">
        <v>7588</v>
      </c>
      <c r="D1722" s="9" t="s">
        <v>7104</v>
      </c>
      <c r="E1722" s="9" t="s">
        <v>7524</v>
      </c>
      <c r="F1722" s="9" t="s">
        <v>7102</v>
      </c>
      <c r="G1722" s="36" t="s">
        <v>14</v>
      </c>
      <c r="H1722" s="36" t="str">
        <f>IFERROR(VLOOKUP(Table2[[#This Row], [Ticket]],Okey!A:B,2,0),"")</f>
        <v/>
      </c>
      <c r="I1722" s="36"/>
      <c r="J1722" s="36" t="str">
        <f>VLOOKUP(Table2[[#This Row], [Author]],People!A:B,2,0)</f>
        <v>HC</v>
      </c>
      <c r="M1722" s="36" t="s">
        <v>1613</v>
      </c>
    </row>
    <row r="1723" spans="1:13" x14ac:dyDescent="0.25">
      <c r="A1723" s="49">
        <f t="shared" si="28"/>
        <v>1721</v>
      </c>
      <c r="B1723" s="36" t="s">
        <v>4</v>
      </c>
      <c r="C1723" s="36" t="s">
        <v>7588</v>
      </c>
      <c r="D1723" s="9" t="s">
        <v>7105</v>
      </c>
      <c r="E1723" s="9" t="s">
        <v>7525</v>
      </c>
      <c r="F1723" s="9" t="s">
        <v>7100</v>
      </c>
      <c r="G1723" s="36" t="s">
        <v>14</v>
      </c>
      <c r="H1723" s="36" t="str">
        <f>IFERROR(VLOOKUP(Table2[[#This Row], [Ticket]],Okey!A:B,2,0),"")</f>
        <v/>
      </c>
      <c r="I1723" s="36"/>
      <c r="J1723" s="36" t="str">
        <f>VLOOKUP(Table2[[#This Row], [Author]],People!A:B,2,0)</f>
        <v>HC</v>
      </c>
      <c r="M1723" s="36" t="s">
        <v>1613</v>
      </c>
    </row>
    <row r="1724" spans="1:13" x14ac:dyDescent="0.25">
      <c r="A1724" s="49">
        <f t="shared" si="28"/>
        <v>1722</v>
      </c>
      <c r="B1724" s="36" t="s">
        <v>4</v>
      </c>
      <c r="C1724" s="36" t="s">
        <v>7588</v>
      </c>
      <c r="D1724" s="9" t="s">
        <v>7106</v>
      </c>
      <c r="E1724" s="9" t="s">
        <v>7526</v>
      </c>
      <c r="F1724" s="9" t="s">
        <v>7105</v>
      </c>
      <c r="G1724" s="36" t="s">
        <v>14</v>
      </c>
      <c r="H1724" s="36" t="str">
        <f>IFERROR(VLOOKUP(Table2[[#This Row], [Ticket]],Okey!A:B,2,0),"")</f>
        <v/>
      </c>
      <c r="I1724" s="36"/>
      <c r="J1724" s="36" t="str">
        <f>VLOOKUP(Table2[[#This Row], [Author]],People!A:B,2,0)</f>
        <v>HC</v>
      </c>
      <c r="M1724" s="36" t="s">
        <v>1613</v>
      </c>
    </row>
    <row r="1725" spans="1:13" x14ac:dyDescent="0.25">
      <c r="A1725" s="49">
        <f t="shared" si="28"/>
        <v>1723</v>
      </c>
      <c r="B1725" s="36" t="s">
        <v>4</v>
      </c>
      <c r="C1725" s="36" t="s">
        <v>7588</v>
      </c>
      <c r="D1725" s="9" t="s">
        <v>7107</v>
      </c>
      <c r="E1725" s="9" t="s">
        <v>7527</v>
      </c>
      <c r="F1725" s="9" t="s">
        <v>7105</v>
      </c>
      <c r="G1725" s="36" t="s">
        <v>14</v>
      </c>
      <c r="H1725" s="36" t="str">
        <f>IFERROR(VLOOKUP(Table2[[#This Row], [Ticket]],Okey!A:B,2,0),"")</f>
        <v/>
      </c>
      <c r="I1725" s="36"/>
      <c r="J1725" s="36" t="str">
        <f>VLOOKUP(Table2[[#This Row], [Author]],People!A:B,2,0)</f>
        <v>HC</v>
      </c>
      <c r="M1725" s="36" t="s">
        <v>1613</v>
      </c>
    </row>
    <row r="1726" spans="1:13" x14ac:dyDescent="0.25">
      <c r="A1726" s="49">
        <f t="shared" si="28"/>
        <v>1724</v>
      </c>
      <c r="B1726" s="36" t="s">
        <v>4</v>
      </c>
      <c r="C1726" s="36" t="s">
        <v>7588</v>
      </c>
      <c r="D1726" s="9" t="s">
        <v>7108</v>
      </c>
      <c r="E1726" s="9" t="s">
        <v>7528</v>
      </c>
      <c r="F1726" s="9" t="s">
        <v>6716</v>
      </c>
      <c r="G1726" s="36" t="s">
        <v>14</v>
      </c>
      <c r="H1726" s="36" t="str">
        <f>IFERROR(VLOOKUP(Table2[[#This Row], [Ticket]],Okey!A:B,2,0),"")</f>
        <v/>
      </c>
      <c r="I1726" s="36"/>
      <c r="J1726" s="36" t="str">
        <f>VLOOKUP(Table2[[#This Row], [Author]],People!A:B,2,0)</f>
        <v>HC</v>
      </c>
      <c r="M1726" s="36" t="s">
        <v>1613</v>
      </c>
    </row>
    <row r="1727" spans="1:13" x14ac:dyDescent="0.25">
      <c r="A1727" s="49">
        <f t="shared" si="28"/>
        <v>1725</v>
      </c>
      <c r="B1727" s="36" t="s">
        <v>4</v>
      </c>
      <c r="C1727" s="36" t="s">
        <v>7588</v>
      </c>
      <c r="D1727" s="9" t="s">
        <v>7109</v>
      </c>
      <c r="E1727" s="9" t="s">
        <v>7529</v>
      </c>
      <c r="F1727" s="9" t="s">
        <v>7108</v>
      </c>
      <c r="G1727" s="36" t="s">
        <v>14</v>
      </c>
      <c r="H1727" s="36" t="str">
        <f>IFERROR(VLOOKUP(Table2[[#This Row], [Ticket]],Okey!A:B,2,0),"")</f>
        <v/>
      </c>
      <c r="I1727" s="36"/>
      <c r="J1727" s="36" t="str">
        <f>VLOOKUP(Table2[[#This Row], [Author]],People!A:B,2,0)</f>
        <v>HC</v>
      </c>
      <c r="M1727" s="36" t="s">
        <v>1613</v>
      </c>
    </row>
    <row r="1728" spans="1:13" x14ac:dyDescent="0.25">
      <c r="A1728" s="49">
        <f t="shared" si="28"/>
        <v>1726</v>
      </c>
      <c r="B1728" s="36" t="s">
        <v>4</v>
      </c>
      <c r="C1728" s="36" t="s">
        <v>7588</v>
      </c>
      <c r="D1728" s="9" t="s">
        <v>7110</v>
      </c>
      <c r="E1728" s="9" t="s">
        <v>7530</v>
      </c>
      <c r="F1728" s="9" t="s">
        <v>7108</v>
      </c>
      <c r="G1728" s="36" t="s">
        <v>14</v>
      </c>
      <c r="H1728" s="36" t="str">
        <f>IFERROR(VLOOKUP(Table2[[#This Row], [Ticket]],Okey!A:B,2,0),"")</f>
        <v/>
      </c>
      <c r="I1728" s="36"/>
      <c r="J1728" s="36" t="str">
        <f>VLOOKUP(Table2[[#This Row], [Author]],People!A:B,2,0)</f>
        <v>HC</v>
      </c>
      <c r="M1728" s="36" t="s">
        <v>1613</v>
      </c>
    </row>
    <row r="1729" spans="1:13" x14ac:dyDescent="0.25">
      <c r="A1729" s="49">
        <f t="shared" si="28"/>
        <v>1727</v>
      </c>
      <c r="B1729" s="36" t="s">
        <v>4</v>
      </c>
      <c r="C1729" s="36" t="s">
        <v>7588</v>
      </c>
      <c r="D1729" s="9" t="s">
        <v>7111</v>
      </c>
      <c r="E1729" s="9" t="s">
        <v>7531</v>
      </c>
      <c r="F1729" s="9" t="s">
        <v>7108</v>
      </c>
      <c r="G1729" s="36" t="s">
        <v>14</v>
      </c>
      <c r="H1729" s="36" t="str">
        <f>IFERROR(VLOOKUP(Table2[[#This Row], [Ticket]],Okey!A:B,2,0),"")</f>
        <v/>
      </c>
      <c r="I1729" s="36"/>
      <c r="J1729" s="36" t="str">
        <f>VLOOKUP(Table2[[#This Row], [Author]],People!A:B,2,0)</f>
        <v>HC</v>
      </c>
      <c r="M1729" s="36" t="s">
        <v>1613</v>
      </c>
    </row>
    <row r="1730" spans="1:13" x14ac:dyDescent="0.25">
      <c r="A1730" s="49">
        <f t="shared" si="28"/>
        <v>1728</v>
      </c>
      <c r="B1730" s="36" t="s">
        <v>4</v>
      </c>
      <c r="C1730" s="36" t="s">
        <v>7588</v>
      </c>
      <c r="D1730" s="9" t="s">
        <v>7112</v>
      </c>
      <c r="E1730" s="9" t="s">
        <v>7532</v>
      </c>
      <c r="F1730" s="9" t="s">
        <v>7111</v>
      </c>
      <c r="G1730" s="36" t="s">
        <v>14</v>
      </c>
      <c r="H1730" s="36" t="str">
        <f>IFERROR(VLOOKUP(Table2[[#This Row], [Ticket]],Okey!A:B,2,0),"")</f>
        <v/>
      </c>
      <c r="I1730" s="36"/>
      <c r="J1730" s="36" t="str">
        <f>VLOOKUP(Table2[[#This Row], [Author]],People!A:B,2,0)</f>
        <v>HC</v>
      </c>
      <c r="M1730" s="36" t="s">
        <v>1613</v>
      </c>
    </row>
    <row r="1731" spans="1:13" x14ac:dyDescent="0.25">
      <c r="A1731" s="49">
        <f t="shared" si="28"/>
        <v>1729</v>
      </c>
      <c r="B1731" s="36" t="s">
        <v>4</v>
      </c>
      <c r="C1731" s="36" t="s">
        <v>7588</v>
      </c>
      <c r="D1731" s="9" t="s">
        <v>7113</v>
      </c>
      <c r="E1731" s="9" t="s">
        <v>7533</v>
      </c>
      <c r="F1731" s="9" t="s">
        <v>7111</v>
      </c>
      <c r="G1731" s="36" t="s">
        <v>14</v>
      </c>
      <c r="H1731" s="36" t="str">
        <f>IFERROR(VLOOKUP(Table2[[#This Row], [Ticket]],Okey!A:B,2,0),"")</f>
        <v/>
      </c>
      <c r="I1731" s="36"/>
      <c r="J1731" s="36" t="str">
        <f>VLOOKUP(Table2[[#This Row], [Author]],People!A:B,2,0)</f>
        <v>HC</v>
      </c>
      <c r="M1731" s="36" t="s">
        <v>1613</v>
      </c>
    </row>
    <row r="1732" spans="1:13" x14ac:dyDescent="0.25">
      <c r="A1732" s="49">
        <f t="shared" si="28"/>
        <v>1730</v>
      </c>
      <c r="B1732" s="36" t="s">
        <v>4</v>
      </c>
      <c r="C1732" s="36" t="s">
        <v>7588</v>
      </c>
      <c r="D1732" s="9" t="s">
        <v>7114</v>
      </c>
      <c r="E1732" s="9" t="s">
        <v>7534</v>
      </c>
      <c r="F1732" s="9" t="s">
        <v>7108</v>
      </c>
      <c r="G1732" s="36" t="s">
        <v>14</v>
      </c>
      <c r="H1732" s="36" t="str">
        <f>IFERROR(VLOOKUP(Table2[[#This Row], [Ticket]],Okey!A:B,2,0),"")</f>
        <v/>
      </c>
      <c r="I1732" s="36"/>
      <c r="J1732" s="36" t="str">
        <f>VLOOKUP(Table2[[#This Row], [Author]],People!A:B,2,0)</f>
        <v>HC</v>
      </c>
      <c r="M1732" s="36" t="s">
        <v>1613</v>
      </c>
    </row>
    <row r="1733" spans="1:13" x14ac:dyDescent="0.25">
      <c r="A1733" s="49">
        <f t="shared" si="28"/>
        <v>1731</v>
      </c>
      <c r="B1733" s="36" t="s">
        <v>4</v>
      </c>
      <c r="C1733" s="36" t="s">
        <v>7588</v>
      </c>
      <c r="D1733" s="9" t="s">
        <v>7115</v>
      </c>
      <c r="E1733" s="9" t="s">
        <v>7535</v>
      </c>
      <c r="F1733" s="9" t="s">
        <v>7114</v>
      </c>
      <c r="G1733" s="36" t="s">
        <v>14</v>
      </c>
      <c r="H1733" s="36" t="str">
        <f>IFERROR(VLOOKUP(Table2[[#This Row], [Ticket]],Okey!A:B,2,0),"")</f>
        <v/>
      </c>
      <c r="I1733" s="36"/>
      <c r="J1733" s="36" t="str">
        <f>VLOOKUP(Table2[[#This Row], [Author]],People!A:B,2,0)</f>
        <v>HC</v>
      </c>
      <c r="M1733" s="36" t="s">
        <v>1613</v>
      </c>
    </row>
    <row r="1734" spans="1:13" x14ac:dyDescent="0.25">
      <c r="A1734" s="49">
        <f t="shared" si="28"/>
        <v>1732</v>
      </c>
      <c r="B1734" s="36" t="s">
        <v>4</v>
      </c>
      <c r="C1734" s="36" t="s">
        <v>7588</v>
      </c>
      <c r="D1734" s="9" t="s">
        <v>7116</v>
      </c>
      <c r="E1734" s="9" t="s">
        <v>7536</v>
      </c>
      <c r="F1734" s="9" t="s">
        <v>7114</v>
      </c>
      <c r="G1734" s="36" t="s">
        <v>14</v>
      </c>
      <c r="H1734" s="36" t="str">
        <f>IFERROR(VLOOKUP(Table2[[#This Row], [Ticket]],Okey!A:B,2,0),"")</f>
        <v/>
      </c>
      <c r="I1734" s="36"/>
      <c r="J1734" s="36" t="str">
        <f>VLOOKUP(Table2[[#This Row], [Author]],People!A:B,2,0)</f>
        <v>HC</v>
      </c>
      <c r="M1734" s="36" t="s">
        <v>1613</v>
      </c>
    </row>
    <row r="1735" spans="1:13" x14ac:dyDescent="0.25">
      <c r="A1735" s="49">
        <f t="shared" si="28"/>
        <v>1733</v>
      </c>
      <c r="B1735" s="36" t="s">
        <v>4</v>
      </c>
      <c r="C1735" s="36" t="s">
        <v>7588</v>
      </c>
      <c r="D1735" s="9" t="s">
        <v>7117</v>
      </c>
      <c r="E1735" s="9" t="s">
        <v>7537</v>
      </c>
      <c r="F1735" s="9" t="s">
        <v>7114</v>
      </c>
      <c r="G1735" s="36" t="s">
        <v>14</v>
      </c>
      <c r="H1735" s="36" t="str">
        <f>IFERROR(VLOOKUP(Table2[[#This Row], [Ticket]],Okey!A:B,2,0),"")</f>
        <v/>
      </c>
      <c r="I1735" s="36"/>
      <c r="J1735" s="36" t="str">
        <f>VLOOKUP(Table2[[#This Row], [Author]],People!A:B,2,0)</f>
        <v>HC</v>
      </c>
      <c r="M1735" s="36" t="s">
        <v>1613</v>
      </c>
    </row>
    <row r="1736" spans="1:13" x14ac:dyDescent="0.25">
      <c r="A1736" s="49">
        <f t="shared" si="28"/>
        <v>1734</v>
      </c>
      <c r="B1736" s="36" t="s">
        <v>4</v>
      </c>
      <c r="C1736" s="36" t="s">
        <v>7588</v>
      </c>
      <c r="D1736" s="9" t="s">
        <v>7118</v>
      </c>
      <c r="E1736" s="9" t="s">
        <v>7538</v>
      </c>
      <c r="F1736" s="9" t="s">
        <v>7114</v>
      </c>
      <c r="G1736" s="36" t="s">
        <v>14</v>
      </c>
      <c r="H1736" s="36" t="str">
        <f>IFERROR(VLOOKUP(Table2[[#This Row], [Ticket]],Okey!A:B,2,0),"")</f>
        <v/>
      </c>
      <c r="I1736" s="36"/>
      <c r="J1736" s="36" t="str">
        <f>VLOOKUP(Table2[[#This Row], [Author]],People!A:B,2,0)</f>
        <v>HC</v>
      </c>
      <c r="M1736" s="36" t="s">
        <v>1613</v>
      </c>
    </row>
    <row r="1737" spans="1:13" x14ac:dyDescent="0.25">
      <c r="A1737" s="49">
        <f t="shared" si="28"/>
        <v>1735</v>
      </c>
      <c r="B1737" s="36" t="s">
        <v>4</v>
      </c>
      <c r="C1737" s="36" t="s">
        <v>7588</v>
      </c>
      <c r="D1737" s="9" t="s">
        <v>7119</v>
      </c>
      <c r="E1737" s="9" t="s">
        <v>7539</v>
      </c>
      <c r="F1737" s="9" t="s">
        <v>7114</v>
      </c>
      <c r="G1737" s="36" t="s">
        <v>14</v>
      </c>
      <c r="H1737" s="36" t="str">
        <f>IFERROR(VLOOKUP(Table2[[#This Row], [Ticket]],Okey!A:B,2,0),"")</f>
        <v/>
      </c>
      <c r="I1737" s="36"/>
      <c r="J1737" s="36" t="str">
        <f>VLOOKUP(Table2[[#This Row], [Author]],People!A:B,2,0)</f>
        <v>HC</v>
      </c>
      <c r="M1737" s="36" t="s">
        <v>1613</v>
      </c>
    </row>
    <row r="1738" spans="1:13" x14ac:dyDescent="0.25">
      <c r="A1738" s="49">
        <f t="shared" si="28"/>
        <v>1736</v>
      </c>
      <c r="B1738" s="36" t="s">
        <v>4</v>
      </c>
      <c r="C1738" s="36" t="s">
        <v>7588</v>
      </c>
      <c r="D1738" s="9" t="s">
        <v>7120</v>
      </c>
      <c r="E1738" s="9" t="s">
        <v>7540</v>
      </c>
      <c r="F1738" s="9" t="s">
        <v>6718</v>
      </c>
      <c r="G1738" s="36" t="s">
        <v>14</v>
      </c>
      <c r="H1738" s="36" t="str">
        <f>IFERROR(VLOOKUP(Table2[[#This Row], [Ticket]],Okey!A:B,2,0),"")</f>
        <v/>
      </c>
      <c r="I1738" s="36"/>
      <c r="J1738" s="36" t="str">
        <f>VLOOKUP(Table2[[#This Row], [Author]],People!A:B,2,0)</f>
        <v>HC</v>
      </c>
      <c r="M1738" s="36" t="s">
        <v>1613</v>
      </c>
    </row>
    <row r="1739" spans="1:13" x14ac:dyDescent="0.25">
      <c r="A1739" s="49">
        <f t="shared" si="28"/>
        <v>1737</v>
      </c>
      <c r="B1739" s="36" t="s">
        <v>4</v>
      </c>
      <c r="C1739" s="36" t="s">
        <v>7588</v>
      </c>
      <c r="D1739" s="9" t="s">
        <v>7121</v>
      </c>
      <c r="E1739" s="9" t="s">
        <v>7541</v>
      </c>
      <c r="F1739" s="9" t="s">
        <v>7120</v>
      </c>
      <c r="G1739" s="36" t="s">
        <v>14</v>
      </c>
      <c r="H1739" s="36" t="str">
        <f>IFERROR(VLOOKUP(Table2[[#This Row], [Ticket]],Okey!A:B,2,0),"")</f>
        <v/>
      </c>
      <c r="I1739" s="36"/>
      <c r="J1739" s="36" t="str">
        <f>VLOOKUP(Table2[[#This Row], [Author]],People!A:B,2,0)</f>
        <v>HC</v>
      </c>
      <c r="M1739" s="36" t="s">
        <v>1613</v>
      </c>
    </row>
    <row r="1740" spans="1:13" x14ac:dyDescent="0.25">
      <c r="A1740" s="49">
        <f t="shared" si="28"/>
        <v>1738</v>
      </c>
      <c r="B1740" s="36" t="s">
        <v>4</v>
      </c>
      <c r="C1740" s="36" t="s">
        <v>7588</v>
      </c>
      <c r="D1740" s="9" t="s">
        <v>7122</v>
      </c>
      <c r="E1740" s="9" t="s">
        <v>7542</v>
      </c>
      <c r="F1740" s="9" t="s">
        <v>7120</v>
      </c>
      <c r="G1740" s="36" t="s">
        <v>14</v>
      </c>
      <c r="H1740" s="36" t="str">
        <f>IFERROR(VLOOKUP(Table2[[#This Row], [Ticket]],Okey!A:B,2,0),"")</f>
        <v/>
      </c>
      <c r="I1740" s="36"/>
      <c r="J1740" s="36" t="str">
        <f>VLOOKUP(Table2[[#This Row], [Author]],People!A:B,2,0)</f>
        <v>HC</v>
      </c>
      <c r="M1740" s="36" t="s">
        <v>1613</v>
      </c>
    </row>
    <row r="1741" spans="1:13" x14ac:dyDescent="0.25">
      <c r="A1741" s="49">
        <f t="shared" si="28"/>
        <v>1739</v>
      </c>
      <c r="B1741" s="36" t="s">
        <v>4</v>
      </c>
      <c r="C1741" s="36" t="s">
        <v>7588</v>
      </c>
      <c r="D1741" s="9" t="s">
        <v>7123</v>
      </c>
      <c r="E1741" s="9" t="s">
        <v>7543</v>
      </c>
      <c r="F1741" s="9" t="s">
        <v>7122</v>
      </c>
      <c r="G1741" s="36" t="s">
        <v>14</v>
      </c>
      <c r="H1741" s="36" t="str">
        <f>IFERROR(VLOOKUP(Table2[[#This Row], [Ticket]],Okey!A:B,2,0),"")</f>
        <v/>
      </c>
      <c r="I1741" s="36"/>
      <c r="J1741" s="36" t="str">
        <f>VLOOKUP(Table2[[#This Row], [Author]],People!A:B,2,0)</f>
        <v>HC</v>
      </c>
      <c r="M1741" s="36" t="s">
        <v>1613</v>
      </c>
    </row>
    <row r="1742" spans="1:13" x14ac:dyDescent="0.25">
      <c r="A1742" s="49">
        <f t="shared" si="28"/>
        <v>1740</v>
      </c>
      <c r="B1742" s="36" t="s">
        <v>4</v>
      </c>
      <c r="C1742" s="36" t="s">
        <v>7588</v>
      </c>
      <c r="D1742" s="9" t="s">
        <v>7124</v>
      </c>
      <c r="E1742" s="9" t="s">
        <v>7544</v>
      </c>
      <c r="F1742" s="9" t="s">
        <v>7122</v>
      </c>
      <c r="G1742" s="36" t="s">
        <v>14</v>
      </c>
      <c r="H1742" s="36" t="str">
        <f>IFERROR(VLOOKUP(Table2[[#This Row], [Ticket]],Okey!A:B,2,0),"")</f>
        <v/>
      </c>
      <c r="I1742" s="36"/>
      <c r="J1742" s="36" t="str">
        <f>VLOOKUP(Table2[[#This Row], [Author]],People!A:B,2,0)</f>
        <v>HC</v>
      </c>
      <c r="M1742" s="36" t="s">
        <v>1613</v>
      </c>
    </row>
    <row r="1743" spans="1:13" x14ac:dyDescent="0.25">
      <c r="A1743" s="49">
        <f t="shared" si="28"/>
        <v>1741</v>
      </c>
      <c r="B1743" s="36" t="s">
        <v>4</v>
      </c>
      <c r="C1743" s="36" t="s">
        <v>7588</v>
      </c>
      <c r="D1743" s="9" t="s">
        <v>7125</v>
      </c>
      <c r="E1743" s="9" t="s">
        <v>7545</v>
      </c>
      <c r="F1743" s="9" t="s">
        <v>7120</v>
      </c>
      <c r="G1743" s="36" t="s">
        <v>14</v>
      </c>
      <c r="H1743" s="36" t="str">
        <f>IFERROR(VLOOKUP(Table2[[#This Row], [Ticket]],Okey!A:B,2,0),"")</f>
        <v/>
      </c>
      <c r="I1743" s="36"/>
      <c r="J1743" s="36" t="str">
        <f>VLOOKUP(Table2[[#This Row], [Author]],People!A:B,2,0)</f>
        <v>HC</v>
      </c>
      <c r="M1743" s="36" t="s">
        <v>1613</v>
      </c>
    </row>
    <row r="1744" spans="1:13" x14ac:dyDescent="0.25">
      <c r="A1744" s="49">
        <f t="shared" si="28"/>
        <v>1742</v>
      </c>
      <c r="B1744" s="36" t="s">
        <v>4</v>
      </c>
      <c r="C1744" s="36" t="s">
        <v>7588</v>
      </c>
      <c r="D1744" s="9" t="s">
        <v>7126</v>
      </c>
      <c r="E1744" s="9" t="s">
        <v>7546</v>
      </c>
      <c r="F1744" s="9" t="s">
        <v>7125</v>
      </c>
      <c r="G1744" s="36" t="s">
        <v>14</v>
      </c>
      <c r="H1744" s="36" t="str">
        <f>IFERROR(VLOOKUP(Table2[[#This Row], [Ticket]],Okey!A:B,2,0),"")</f>
        <v/>
      </c>
      <c r="I1744" s="36"/>
      <c r="J1744" s="36" t="str">
        <f>VLOOKUP(Table2[[#This Row], [Author]],People!A:B,2,0)</f>
        <v>HC</v>
      </c>
      <c r="M1744" s="36" t="s">
        <v>1613</v>
      </c>
    </row>
    <row r="1745" spans="1:13" x14ac:dyDescent="0.25">
      <c r="A1745" s="49">
        <f t="shared" si="28"/>
        <v>1743</v>
      </c>
      <c r="B1745" s="36" t="s">
        <v>4</v>
      </c>
      <c r="C1745" s="36" t="s">
        <v>7588</v>
      </c>
      <c r="D1745" s="9" t="s">
        <v>7127</v>
      </c>
      <c r="E1745" s="9" t="s">
        <v>7547</v>
      </c>
      <c r="F1745" s="9" t="s">
        <v>7125</v>
      </c>
      <c r="G1745" s="36" t="s">
        <v>14</v>
      </c>
      <c r="H1745" s="36" t="str">
        <f>IFERROR(VLOOKUP(Table2[[#This Row], [Ticket]],Okey!A:B,2,0),"")</f>
        <v/>
      </c>
      <c r="I1745" s="36"/>
      <c r="J1745" s="36" t="str">
        <f>VLOOKUP(Table2[[#This Row], [Author]],People!A:B,2,0)</f>
        <v>HC</v>
      </c>
      <c r="M1745" s="36" t="s">
        <v>1613</v>
      </c>
    </row>
    <row r="1746" spans="1:13" x14ac:dyDescent="0.25">
      <c r="A1746" s="49">
        <f t="shared" si="28"/>
        <v>1744</v>
      </c>
      <c r="B1746" s="36" t="s">
        <v>4</v>
      </c>
      <c r="C1746" s="36" t="s">
        <v>7588</v>
      </c>
      <c r="D1746" s="9" t="s">
        <v>7128</v>
      </c>
      <c r="E1746" s="9" t="s">
        <v>7548</v>
      </c>
      <c r="F1746" s="9" t="s">
        <v>6716</v>
      </c>
      <c r="G1746" s="36" t="s">
        <v>14</v>
      </c>
      <c r="H1746" s="36" t="str">
        <f>IFERROR(VLOOKUP(Table2[[#This Row], [Ticket]],Okey!A:B,2,0),"")</f>
        <v/>
      </c>
      <c r="I1746" s="36"/>
      <c r="J1746" s="36" t="str">
        <f>VLOOKUP(Table2[[#This Row], [Author]],People!A:B,2,0)</f>
        <v>HC</v>
      </c>
      <c r="M1746" s="36" t="s">
        <v>1613</v>
      </c>
    </row>
    <row r="1747" spans="1:13" x14ac:dyDescent="0.25">
      <c r="A1747" s="49">
        <f t="shared" si="28"/>
        <v>1745</v>
      </c>
      <c r="B1747" s="36" t="s">
        <v>4</v>
      </c>
      <c r="C1747" s="36" t="s">
        <v>7588</v>
      </c>
      <c r="D1747" s="9" t="s">
        <v>7129</v>
      </c>
      <c r="E1747" s="9" t="s">
        <v>7549</v>
      </c>
      <c r="F1747" s="9" t="s">
        <v>7128</v>
      </c>
      <c r="G1747" s="36" t="s">
        <v>14</v>
      </c>
      <c r="H1747" s="36" t="str">
        <f>IFERROR(VLOOKUP(Table2[[#This Row], [Ticket]],Okey!A:B,2,0),"")</f>
        <v/>
      </c>
      <c r="I1747" s="36"/>
      <c r="J1747" s="36" t="str">
        <f>VLOOKUP(Table2[[#This Row], [Author]],People!A:B,2,0)</f>
        <v>HC</v>
      </c>
      <c r="M1747" s="36" t="s">
        <v>1613</v>
      </c>
    </row>
    <row r="1748" spans="1:13" x14ac:dyDescent="0.25">
      <c r="A1748" s="49">
        <f t="shared" si="28"/>
        <v>1746</v>
      </c>
      <c r="B1748" s="36" t="s">
        <v>4</v>
      </c>
      <c r="C1748" s="36" t="s">
        <v>7588</v>
      </c>
      <c r="D1748" s="9" t="s">
        <v>7130</v>
      </c>
      <c r="E1748" s="9" t="s">
        <v>7550</v>
      </c>
      <c r="F1748" s="9" t="s">
        <v>7128</v>
      </c>
      <c r="G1748" s="36" t="s">
        <v>14</v>
      </c>
      <c r="H1748" s="36" t="str">
        <f>IFERROR(VLOOKUP(Table2[[#This Row], [Ticket]],Okey!A:B,2,0),"")</f>
        <v/>
      </c>
      <c r="I1748" s="36"/>
      <c r="J1748" s="36" t="str">
        <f>VLOOKUP(Table2[[#This Row], [Author]],People!A:B,2,0)</f>
        <v>HC</v>
      </c>
      <c r="M1748" s="36" t="s">
        <v>1613</v>
      </c>
    </row>
    <row r="1749" spans="1:13" x14ac:dyDescent="0.25">
      <c r="A1749" s="49">
        <f t="shared" ref="A1749:A1786" si="29">1+A1748</f>
        <v>1747</v>
      </c>
      <c r="B1749" s="36" t="s">
        <v>4</v>
      </c>
      <c r="C1749" s="36" t="s">
        <v>7588</v>
      </c>
      <c r="D1749" s="9" t="s">
        <v>7131</v>
      </c>
      <c r="E1749" s="9" t="s">
        <v>7551</v>
      </c>
      <c r="F1749" s="9" t="s">
        <v>7128</v>
      </c>
      <c r="G1749" s="36" t="s">
        <v>14</v>
      </c>
      <c r="H1749" s="36" t="str">
        <f>IFERROR(VLOOKUP(Table2[[#This Row], [Ticket]],Okey!A:B,2,0),"")</f>
        <v/>
      </c>
      <c r="I1749" s="36"/>
      <c r="J1749" s="36" t="str">
        <f>VLOOKUP(Table2[[#This Row], [Author]],People!A:B,2,0)</f>
        <v>HC</v>
      </c>
      <c r="M1749" s="36" t="s">
        <v>1613</v>
      </c>
    </row>
    <row r="1750" spans="1:13" x14ac:dyDescent="0.25">
      <c r="A1750" s="49">
        <f t="shared" si="29"/>
        <v>1748</v>
      </c>
      <c r="B1750" s="36" t="s">
        <v>4</v>
      </c>
      <c r="C1750" s="36" t="s">
        <v>7588</v>
      </c>
      <c r="D1750" s="9" t="s">
        <v>7132</v>
      </c>
      <c r="E1750" s="9" t="s">
        <v>7552</v>
      </c>
      <c r="F1750" s="9" t="s">
        <v>7131</v>
      </c>
      <c r="G1750" s="36" t="s">
        <v>14</v>
      </c>
      <c r="H1750" s="36" t="str">
        <f>IFERROR(VLOOKUP(Table2[[#This Row], [Ticket]],Okey!A:B,2,0),"")</f>
        <v/>
      </c>
      <c r="I1750" s="36"/>
      <c r="J1750" s="36" t="str">
        <f>VLOOKUP(Table2[[#This Row], [Author]],People!A:B,2,0)</f>
        <v>HC</v>
      </c>
      <c r="M1750" s="36" t="s">
        <v>1613</v>
      </c>
    </row>
    <row r="1751" spans="1:13" x14ac:dyDescent="0.25">
      <c r="A1751" s="49">
        <f t="shared" si="29"/>
        <v>1749</v>
      </c>
      <c r="B1751" s="36" t="s">
        <v>4</v>
      </c>
      <c r="C1751" s="36" t="s">
        <v>7588</v>
      </c>
      <c r="D1751" s="9" t="s">
        <v>7133</v>
      </c>
      <c r="E1751" s="9" t="s">
        <v>7553</v>
      </c>
      <c r="F1751" s="9" t="s">
        <v>7131</v>
      </c>
      <c r="G1751" s="36" t="s">
        <v>14</v>
      </c>
      <c r="H1751" s="36" t="str">
        <f>IFERROR(VLOOKUP(Table2[[#This Row], [Ticket]],Okey!A:B,2,0),"")</f>
        <v/>
      </c>
      <c r="I1751" s="36"/>
      <c r="J1751" s="36" t="str">
        <f>VLOOKUP(Table2[[#This Row], [Author]],People!A:B,2,0)</f>
        <v>HC</v>
      </c>
      <c r="M1751" s="36" t="s">
        <v>1613</v>
      </c>
    </row>
    <row r="1752" spans="1:13" x14ac:dyDescent="0.25">
      <c r="A1752" s="49">
        <f t="shared" si="29"/>
        <v>1750</v>
      </c>
      <c r="B1752" s="36" t="s">
        <v>4</v>
      </c>
      <c r="C1752" s="36" t="s">
        <v>7588</v>
      </c>
      <c r="D1752" s="9" t="s">
        <v>7134</v>
      </c>
      <c r="E1752" s="9" t="s">
        <v>7554</v>
      </c>
      <c r="F1752" s="9" t="s">
        <v>7128</v>
      </c>
      <c r="G1752" s="36" t="s">
        <v>14</v>
      </c>
      <c r="H1752" s="36" t="str">
        <f>IFERROR(VLOOKUP(Table2[[#This Row], [Ticket]],Okey!A:B,2,0),"")</f>
        <v/>
      </c>
      <c r="I1752" s="36"/>
      <c r="J1752" s="36" t="str">
        <f>VLOOKUP(Table2[[#This Row], [Author]],People!A:B,2,0)</f>
        <v>HC</v>
      </c>
      <c r="M1752" s="36" t="s">
        <v>1613</v>
      </c>
    </row>
    <row r="1753" spans="1:13" x14ac:dyDescent="0.25">
      <c r="A1753" s="49">
        <f t="shared" si="29"/>
        <v>1751</v>
      </c>
      <c r="B1753" s="36" t="s">
        <v>4</v>
      </c>
      <c r="C1753" s="36" t="s">
        <v>7588</v>
      </c>
      <c r="D1753" s="9" t="s">
        <v>7135</v>
      </c>
      <c r="E1753" s="9" t="s">
        <v>7555</v>
      </c>
      <c r="F1753" s="9" t="s">
        <v>7134</v>
      </c>
      <c r="G1753" s="36" t="s">
        <v>14</v>
      </c>
      <c r="H1753" s="36" t="str">
        <f>IFERROR(VLOOKUP(Table2[[#This Row], [Ticket]],Okey!A:B,2,0),"")</f>
        <v/>
      </c>
      <c r="I1753" s="36"/>
      <c r="J1753" s="36" t="str">
        <f>VLOOKUP(Table2[[#This Row], [Author]],People!A:B,2,0)</f>
        <v>HC</v>
      </c>
      <c r="M1753" s="36" t="s">
        <v>1613</v>
      </c>
    </row>
    <row r="1754" spans="1:13" x14ac:dyDescent="0.25">
      <c r="A1754" s="49">
        <f t="shared" si="29"/>
        <v>1752</v>
      </c>
      <c r="B1754" s="36" t="s">
        <v>4</v>
      </c>
      <c r="C1754" s="36" t="s">
        <v>7588</v>
      </c>
      <c r="D1754" s="9" t="s">
        <v>7136</v>
      </c>
      <c r="E1754" s="9" t="s">
        <v>7556</v>
      </c>
      <c r="F1754" s="9" t="s">
        <v>7134</v>
      </c>
      <c r="G1754" s="36" t="s">
        <v>14</v>
      </c>
      <c r="H1754" s="36" t="str">
        <f>IFERROR(VLOOKUP(Table2[[#This Row], [Ticket]],Okey!A:B,2,0),"")</f>
        <v/>
      </c>
      <c r="I1754" s="36"/>
      <c r="J1754" s="36" t="str">
        <f>VLOOKUP(Table2[[#This Row], [Author]],People!A:B,2,0)</f>
        <v>HC</v>
      </c>
      <c r="M1754" s="36" t="s">
        <v>1613</v>
      </c>
    </row>
    <row r="1755" spans="1:13" x14ac:dyDescent="0.25">
      <c r="A1755" s="49">
        <f t="shared" si="29"/>
        <v>1753</v>
      </c>
      <c r="B1755" s="36" t="s">
        <v>4</v>
      </c>
      <c r="C1755" s="36" t="s">
        <v>7588</v>
      </c>
      <c r="D1755" s="9" t="s">
        <v>7137</v>
      </c>
      <c r="E1755" s="9" t="s">
        <v>7557</v>
      </c>
      <c r="F1755" s="9" t="s">
        <v>7134</v>
      </c>
      <c r="G1755" s="36" t="s">
        <v>14</v>
      </c>
      <c r="H1755" s="36" t="str">
        <f>IFERROR(VLOOKUP(Table2[[#This Row], [Ticket]],Okey!A:B,2,0),"")</f>
        <v/>
      </c>
      <c r="I1755" s="36"/>
      <c r="J1755" s="36" t="str">
        <f>VLOOKUP(Table2[[#This Row], [Author]],People!A:B,2,0)</f>
        <v>HC</v>
      </c>
      <c r="M1755" s="36" t="s">
        <v>1613</v>
      </c>
    </row>
    <row r="1756" spans="1:13" x14ac:dyDescent="0.25">
      <c r="A1756" s="49">
        <f t="shared" si="29"/>
        <v>1754</v>
      </c>
      <c r="B1756" s="36" t="s">
        <v>4</v>
      </c>
      <c r="C1756" s="36" t="s">
        <v>7588</v>
      </c>
      <c r="D1756" s="9" t="s">
        <v>7138</v>
      </c>
      <c r="E1756" s="9" t="s">
        <v>7558</v>
      </c>
      <c r="F1756" s="9" t="s">
        <v>7134</v>
      </c>
      <c r="G1756" s="36" t="s">
        <v>14</v>
      </c>
      <c r="H1756" s="36" t="str">
        <f>IFERROR(VLOOKUP(Table2[[#This Row], [Ticket]],Okey!A:B,2,0),"")</f>
        <v/>
      </c>
      <c r="I1756" s="36"/>
      <c r="J1756" s="36" t="str">
        <f>VLOOKUP(Table2[[#This Row], [Author]],People!A:B,2,0)</f>
        <v>HC</v>
      </c>
      <c r="M1756" s="36" t="s">
        <v>1613</v>
      </c>
    </row>
    <row r="1757" spans="1:13" x14ac:dyDescent="0.25">
      <c r="A1757" s="49">
        <f t="shared" si="29"/>
        <v>1755</v>
      </c>
      <c r="B1757" s="36" t="s">
        <v>4</v>
      </c>
      <c r="C1757" s="36" t="s">
        <v>7588</v>
      </c>
      <c r="D1757" s="9" t="s">
        <v>7139</v>
      </c>
      <c r="E1757" s="9" t="s">
        <v>7559</v>
      </c>
      <c r="F1757" s="9" t="s">
        <v>7134</v>
      </c>
      <c r="G1757" s="36" t="s">
        <v>14</v>
      </c>
      <c r="H1757" s="36" t="str">
        <f>IFERROR(VLOOKUP(Table2[[#This Row], [Ticket]],Okey!A:B,2,0),"")</f>
        <v/>
      </c>
      <c r="I1757" s="36"/>
      <c r="J1757" s="36" t="str">
        <f>VLOOKUP(Table2[[#This Row], [Author]],People!A:B,2,0)</f>
        <v>HC</v>
      </c>
      <c r="M1757" s="36" t="s">
        <v>1613</v>
      </c>
    </row>
    <row r="1758" spans="1:13" x14ac:dyDescent="0.25">
      <c r="A1758" s="49">
        <f t="shared" si="29"/>
        <v>1756</v>
      </c>
      <c r="B1758" s="36" t="s">
        <v>4</v>
      </c>
      <c r="C1758" s="36" t="s">
        <v>7588</v>
      </c>
      <c r="D1758" s="9" t="s">
        <v>7140</v>
      </c>
      <c r="E1758" s="9" t="s">
        <v>7560</v>
      </c>
      <c r="F1758" s="9" t="s">
        <v>6718</v>
      </c>
      <c r="G1758" s="36" t="s">
        <v>14</v>
      </c>
      <c r="H1758" s="36" t="str">
        <f>IFERROR(VLOOKUP(Table2[[#This Row], [Ticket]],Okey!A:B,2,0),"")</f>
        <v/>
      </c>
      <c r="I1758" s="36"/>
      <c r="J1758" s="36" t="str">
        <f>VLOOKUP(Table2[[#This Row], [Author]],People!A:B,2,0)</f>
        <v>HC</v>
      </c>
      <c r="M1758" s="36" t="s">
        <v>1613</v>
      </c>
    </row>
    <row r="1759" spans="1:13" x14ac:dyDescent="0.25">
      <c r="A1759" s="49">
        <f t="shared" si="29"/>
        <v>1757</v>
      </c>
      <c r="B1759" s="36" t="s">
        <v>4</v>
      </c>
      <c r="C1759" s="36" t="s">
        <v>7588</v>
      </c>
      <c r="D1759" s="9" t="s">
        <v>7141</v>
      </c>
      <c r="E1759" s="9" t="s">
        <v>7561</v>
      </c>
      <c r="F1759" s="9" t="s">
        <v>7140</v>
      </c>
      <c r="G1759" s="36" t="s">
        <v>14</v>
      </c>
      <c r="H1759" s="36" t="str">
        <f>IFERROR(VLOOKUP(Table2[[#This Row], [Ticket]],Okey!A:B,2,0),"")</f>
        <v/>
      </c>
      <c r="I1759" s="36"/>
      <c r="J1759" s="36" t="str">
        <f>VLOOKUP(Table2[[#This Row], [Author]],People!A:B,2,0)</f>
        <v>HC</v>
      </c>
      <c r="M1759" s="36" t="s">
        <v>1613</v>
      </c>
    </row>
    <row r="1760" spans="1:13" x14ac:dyDescent="0.25">
      <c r="A1760" s="49">
        <f t="shared" si="29"/>
        <v>1758</v>
      </c>
      <c r="B1760" s="36" t="s">
        <v>4</v>
      </c>
      <c r="C1760" s="36" t="s">
        <v>7588</v>
      </c>
      <c r="D1760" s="9" t="s">
        <v>7142</v>
      </c>
      <c r="E1760" s="9" t="s">
        <v>7562</v>
      </c>
      <c r="F1760" s="9" t="s">
        <v>7140</v>
      </c>
      <c r="G1760" s="36" t="s">
        <v>14</v>
      </c>
      <c r="H1760" s="36" t="str">
        <f>IFERROR(VLOOKUP(Table2[[#This Row], [Ticket]],Okey!A:B,2,0),"")</f>
        <v/>
      </c>
      <c r="I1760" s="36"/>
      <c r="J1760" s="36" t="str">
        <f>VLOOKUP(Table2[[#This Row], [Author]],People!A:B,2,0)</f>
        <v>HC</v>
      </c>
      <c r="M1760" s="36" t="s">
        <v>1613</v>
      </c>
    </row>
    <row r="1761" spans="1:13" x14ac:dyDescent="0.25">
      <c r="A1761" s="49">
        <f t="shared" si="29"/>
        <v>1759</v>
      </c>
      <c r="B1761" s="36" t="s">
        <v>4</v>
      </c>
      <c r="C1761" s="36" t="s">
        <v>7588</v>
      </c>
      <c r="D1761" s="9" t="s">
        <v>7143</v>
      </c>
      <c r="E1761" s="9" t="s">
        <v>7563</v>
      </c>
      <c r="F1761" s="9" t="s">
        <v>7142</v>
      </c>
      <c r="G1761" s="36" t="s">
        <v>14</v>
      </c>
      <c r="H1761" s="36" t="str">
        <f>IFERROR(VLOOKUP(Table2[[#This Row], [Ticket]],Okey!A:B,2,0),"")</f>
        <v/>
      </c>
      <c r="I1761" s="36"/>
      <c r="J1761" s="36" t="str">
        <f>VLOOKUP(Table2[[#This Row], [Author]],People!A:B,2,0)</f>
        <v>HC</v>
      </c>
      <c r="M1761" s="36" t="s">
        <v>1613</v>
      </c>
    </row>
    <row r="1762" spans="1:13" x14ac:dyDescent="0.25">
      <c r="A1762" s="49">
        <f t="shared" si="29"/>
        <v>1760</v>
      </c>
      <c r="B1762" s="36" t="s">
        <v>4</v>
      </c>
      <c r="C1762" s="36" t="s">
        <v>7588</v>
      </c>
      <c r="D1762" s="9" t="s">
        <v>7144</v>
      </c>
      <c r="E1762" s="9" t="s">
        <v>7564</v>
      </c>
      <c r="F1762" s="9" t="s">
        <v>7142</v>
      </c>
      <c r="G1762" s="36" t="s">
        <v>14</v>
      </c>
      <c r="H1762" s="36" t="str">
        <f>IFERROR(VLOOKUP(Table2[[#This Row], [Ticket]],Okey!A:B,2,0),"")</f>
        <v/>
      </c>
      <c r="I1762" s="36"/>
      <c r="J1762" s="36" t="str">
        <f>VLOOKUP(Table2[[#This Row], [Author]],People!A:B,2,0)</f>
        <v>HC</v>
      </c>
      <c r="M1762" s="36" t="s">
        <v>1613</v>
      </c>
    </row>
    <row r="1763" spans="1:13" x14ac:dyDescent="0.25">
      <c r="A1763" s="49">
        <f t="shared" si="29"/>
        <v>1761</v>
      </c>
      <c r="B1763" s="36" t="s">
        <v>4</v>
      </c>
      <c r="C1763" s="36" t="s">
        <v>7588</v>
      </c>
      <c r="D1763" s="9" t="s">
        <v>7145</v>
      </c>
      <c r="E1763" s="9" t="s">
        <v>7565</v>
      </c>
      <c r="F1763" s="9" t="s">
        <v>7140</v>
      </c>
      <c r="G1763" s="36" t="s">
        <v>14</v>
      </c>
      <c r="H1763" s="36" t="str">
        <f>IFERROR(VLOOKUP(Table2[[#This Row], [Ticket]],Okey!A:B,2,0),"")</f>
        <v/>
      </c>
      <c r="I1763" s="36"/>
      <c r="J1763" s="36" t="str">
        <f>VLOOKUP(Table2[[#This Row], [Author]],People!A:B,2,0)</f>
        <v>HC</v>
      </c>
      <c r="M1763" s="36" t="s">
        <v>1613</v>
      </c>
    </row>
    <row r="1764" spans="1:13" x14ac:dyDescent="0.25">
      <c r="A1764" s="49">
        <f t="shared" si="29"/>
        <v>1762</v>
      </c>
      <c r="B1764" s="36" t="s">
        <v>4</v>
      </c>
      <c r="C1764" s="36" t="s">
        <v>7588</v>
      </c>
      <c r="D1764" s="9" t="s">
        <v>7146</v>
      </c>
      <c r="E1764" s="9" t="s">
        <v>7566</v>
      </c>
      <c r="F1764" s="9" t="s">
        <v>7145</v>
      </c>
      <c r="G1764" s="36" t="s">
        <v>14</v>
      </c>
      <c r="H1764" s="36" t="str">
        <f>IFERROR(VLOOKUP(Table2[[#This Row], [Ticket]],Okey!A:B,2,0),"")</f>
        <v/>
      </c>
      <c r="I1764" s="36"/>
      <c r="J1764" s="36" t="str">
        <f>VLOOKUP(Table2[[#This Row], [Author]],People!A:B,2,0)</f>
        <v>HC</v>
      </c>
      <c r="M1764" s="36" t="s">
        <v>1613</v>
      </c>
    </row>
    <row r="1765" spans="1:13" x14ac:dyDescent="0.25">
      <c r="A1765" s="49">
        <f t="shared" si="29"/>
        <v>1763</v>
      </c>
      <c r="B1765" s="36" t="s">
        <v>4</v>
      </c>
      <c r="C1765" s="36" t="s">
        <v>7588</v>
      </c>
      <c r="D1765" s="9" t="s">
        <v>7147</v>
      </c>
      <c r="E1765" s="9" t="s">
        <v>7567</v>
      </c>
      <c r="F1765" s="9" t="s">
        <v>7145</v>
      </c>
      <c r="G1765" s="36" t="s">
        <v>14</v>
      </c>
      <c r="H1765" s="36" t="str">
        <f>IFERROR(VLOOKUP(Table2[[#This Row], [Ticket]],Okey!A:B,2,0),"")</f>
        <v/>
      </c>
      <c r="I1765" s="36"/>
      <c r="J1765" s="36" t="str">
        <f>VLOOKUP(Table2[[#This Row], [Author]],People!A:B,2,0)</f>
        <v>HC</v>
      </c>
      <c r="M1765" s="36" t="s">
        <v>1613</v>
      </c>
    </row>
    <row r="1766" spans="1:13" x14ac:dyDescent="0.25">
      <c r="A1766" s="49">
        <f t="shared" si="29"/>
        <v>1764</v>
      </c>
      <c r="B1766" s="36" t="s">
        <v>4</v>
      </c>
      <c r="C1766" s="36" t="s">
        <v>7588</v>
      </c>
      <c r="D1766" s="9" t="s">
        <v>7148</v>
      </c>
      <c r="E1766" s="9" t="s">
        <v>7568</v>
      </c>
      <c r="F1766" s="9" t="s">
        <v>6716</v>
      </c>
      <c r="G1766" s="36" t="s">
        <v>14</v>
      </c>
      <c r="H1766" s="36" t="str">
        <f>IFERROR(VLOOKUP(Table2[[#This Row], [Ticket]],Okey!A:B,2,0),"")</f>
        <v/>
      </c>
      <c r="I1766" s="36"/>
      <c r="J1766" s="36" t="str">
        <f>VLOOKUP(Table2[[#This Row], [Author]],People!A:B,2,0)</f>
        <v>HC</v>
      </c>
      <c r="M1766" s="36" t="s">
        <v>1613</v>
      </c>
    </row>
    <row r="1767" spans="1:13" x14ac:dyDescent="0.25">
      <c r="A1767" s="49">
        <f t="shared" si="29"/>
        <v>1765</v>
      </c>
      <c r="B1767" s="36" t="s">
        <v>4</v>
      </c>
      <c r="C1767" s="36" t="s">
        <v>7588</v>
      </c>
      <c r="D1767" s="9" t="s">
        <v>7149</v>
      </c>
      <c r="E1767" s="9" t="s">
        <v>7569</v>
      </c>
      <c r="F1767" s="9" t="s">
        <v>7148</v>
      </c>
      <c r="G1767" s="36" t="s">
        <v>14</v>
      </c>
      <c r="H1767" s="36" t="str">
        <f>IFERROR(VLOOKUP(Table2[[#This Row], [Ticket]],Okey!A:B,2,0),"")</f>
        <v/>
      </c>
      <c r="I1767" s="36"/>
      <c r="J1767" s="36" t="str">
        <f>VLOOKUP(Table2[[#This Row], [Author]],People!A:B,2,0)</f>
        <v>HC</v>
      </c>
      <c r="M1767" s="36" t="s">
        <v>1613</v>
      </c>
    </row>
    <row r="1768" spans="1:13" x14ac:dyDescent="0.25">
      <c r="A1768" s="49">
        <f t="shared" si="29"/>
        <v>1766</v>
      </c>
      <c r="B1768" s="36" t="s">
        <v>4</v>
      </c>
      <c r="C1768" s="36" t="s">
        <v>7588</v>
      </c>
      <c r="D1768" s="9" t="s">
        <v>7150</v>
      </c>
      <c r="E1768" s="9" t="s">
        <v>7570</v>
      </c>
      <c r="F1768" s="9" t="s">
        <v>7148</v>
      </c>
      <c r="G1768" s="36" t="s">
        <v>14</v>
      </c>
      <c r="H1768" s="36" t="str">
        <f>IFERROR(VLOOKUP(Table2[[#This Row], [Ticket]],Okey!A:B,2,0),"")</f>
        <v/>
      </c>
      <c r="I1768" s="36"/>
      <c r="J1768" s="36" t="str">
        <f>VLOOKUP(Table2[[#This Row], [Author]],People!A:B,2,0)</f>
        <v>HC</v>
      </c>
      <c r="M1768" s="36" t="s">
        <v>1613</v>
      </c>
    </row>
    <row r="1769" spans="1:13" x14ac:dyDescent="0.25">
      <c r="A1769" s="49">
        <f t="shared" si="29"/>
        <v>1767</v>
      </c>
      <c r="B1769" s="36" t="s">
        <v>4</v>
      </c>
      <c r="C1769" s="36" t="s">
        <v>7588</v>
      </c>
      <c r="D1769" s="9" t="s">
        <v>7151</v>
      </c>
      <c r="E1769" s="9" t="s">
        <v>7571</v>
      </c>
      <c r="F1769" s="9" t="s">
        <v>7148</v>
      </c>
      <c r="G1769" s="36" t="s">
        <v>14</v>
      </c>
      <c r="H1769" s="36" t="str">
        <f>IFERROR(VLOOKUP(Table2[[#This Row], [Ticket]],Okey!A:B,2,0),"")</f>
        <v/>
      </c>
      <c r="I1769" s="36"/>
      <c r="J1769" s="36" t="str">
        <f>VLOOKUP(Table2[[#This Row], [Author]],People!A:B,2,0)</f>
        <v>HC</v>
      </c>
      <c r="M1769" s="36" t="s">
        <v>1613</v>
      </c>
    </row>
    <row r="1770" spans="1:13" x14ac:dyDescent="0.25">
      <c r="A1770" s="49">
        <f t="shared" si="29"/>
        <v>1768</v>
      </c>
      <c r="B1770" s="36" t="s">
        <v>4</v>
      </c>
      <c r="C1770" s="36" t="s">
        <v>7588</v>
      </c>
      <c r="D1770" s="9" t="s">
        <v>7152</v>
      </c>
      <c r="E1770" s="9" t="s">
        <v>7572</v>
      </c>
      <c r="F1770" s="9" t="s">
        <v>7151</v>
      </c>
      <c r="G1770" s="36" t="s">
        <v>14</v>
      </c>
      <c r="H1770" s="36" t="str">
        <f>IFERROR(VLOOKUP(Table2[[#This Row], [Ticket]],Okey!A:B,2,0),"")</f>
        <v/>
      </c>
      <c r="I1770" s="36"/>
      <c r="J1770" s="36" t="str">
        <f>VLOOKUP(Table2[[#This Row], [Author]],People!A:B,2,0)</f>
        <v>HC</v>
      </c>
      <c r="M1770" s="36" t="s">
        <v>1613</v>
      </c>
    </row>
    <row r="1771" spans="1:13" x14ac:dyDescent="0.25">
      <c r="A1771" s="49">
        <f t="shared" si="29"/>
        <v>1769</v>
      </c>
      <c r="B1771" s="36" t="s">
        <v>4</v>
      </c>
      <c r="C1771" s="36" t="s">
        <v>7588</v>
      </c>
      <c r="D1771" s="9" t="s">
        <v>7153</v>
      </c>
      <c r="E1771" s="9" t="s">
        <v>7573</v>
      </c>
      <c r="F1771" s="9" t="s">
        <v>7151</v>
      </c>
      <c r="G1771" s="36" t="s">
        <v>14</v>
      </c>
      <c r="H1771" s="36" t="str">
        <f>IFERROR(VLOOKUP(Table2[[#This Row], [Ticket]],Okey!A:B,2,0),"")</f>
        <v/>
      </c>
      <c r="I1771" s="36"/>
      <c r="J1771" s="36" t="str">
        <f>VLOOKUP(Table2[[#This Row], [Author]],People!A:B,2,0)</f>
        <v>HC</v>
      </c>
      <c r="M1771" s="36" t="s">
        <v>1613</v>
      </c>
    </row>
    <row r="1772" spans="1:13" x14ac:dyDescent="0.25">
      <c r="A1772" s="49">
        <f t="shared" si="29"/>
        <v>1770</v>
      </c>
      <c r="B1772" s="36" t="s">
        <v>4</v>
      </c>
      <c r="C1772" s="36" t="s">
        <v>7588</v>
      </c>
      <c r="D1772" s="9" t="s">
        <v>7154</v>
      </c>
      <c r="E1772" s="9" t="s">
        <v>7574</v>
      </c>
      <c r="F1772" s="9" t="s">
        <v>7148</v>
      </c>
      <c r="G1772" s="36" t="s">
        <v>14</v>
      </c>
      <c r="H1772" s="36" t="str">
        <f>IFERROR(VLOOKUP(Table2[[#This Row], [Ticket]],Okey!A:B,2,0),"")</f>
        <v/>
      </c>
      <c r="I1772" s="36"/>
      <c r="J1772" s="36" t="str">
        <f>VLOOKUP(Table2[[#This Row], [Author]],People!A:B,2,0)</f>
        <v>HC</v>
      </c>
      <c r="M1772" s="36" t="s">
        <v>1613</v>
      </c>
    </row>
    <row r="1773" spans="1:13" x14ac:dyDescent="0.25">
      <c r="A1773" s="49">
        <f t="shared" si="29"/>
        <v>1771</v>
      </c>
      <c r="B1773" s="36" t="s">
        <v>4</v>
      </c>
      <c r="C1773" s="36" t="s">
        <v>7588</v>
      </c>
      <c r="D1773" s="9" t="s">
        <v>7155</v>
      </c>
      <c r="E1773" s="9" t="s">
        <v>7575</v>
      </c>
      <c r="F1773" s="9" t="s">
        <v>7154</v>
      </c>
      <c r="G1773" s="36" t="s">
        <v>14</v>
      </c>
      <c r="H1773" s="36" t="str">
        <f>IFERROR(VLOOKUP(Table2[[#This Row], [Ticket]],Okey!A:B,2,0),"")</f>
        <v/>
      </c>
      <c r="I1773" s="36"/>
      <c r="J1773" s="36" t="str">
        <f>VLOOKUP(Table2[[#This Row], [Author]],People!A:B,2,0)</f>
        <v>HC</v>
      </c>
      <c r="M1773" s="36" t="s">
        <v>1613</v>
      </c>
    </row>
    <row r="1774" spans="1:13" x14ac:dyDescent="0.25">
      <c r="A1774" s="49">
        <f t="shared" si="29"/>
        <v>1772</v>
      </c>
      <c r="B1774" s="36" t="s">
        <v>4</v>
      </c>
      <c r="C1774" s="36" t="s">
        <v>7588</v>
      </c>
      <c r="D1774" s="9" t="s">
        <v>7156</v>
      </c>
      <c r="E1774" s="9" t="s">
        <v>7576</v>
      </c>
      <c r="F1774" s="9" t="s">
        <v>7154</v>
      </c>
      <c r="G1774" s="36" t="s">
        <v>14</v>
      </c>
      <c r="H1774" s="36" t="str">
        <f>IFERROR(VLOOKUP(Table2[[#This Row], [Ticket]],Okey!A:B,2,0),"")</f>
        <v/>
      </c>
      <c r="I1774" s="36"/>
      <c r="J1774" s="36" t="str">
        <f>VLOOKUP(Table2[[#This Row], [Author]],People!A:B,2,0)</f>
        <v>HC</v>
      </c>
      <c r="M1774" s="36" t="s">
        <v>1613</v>
      </c>
    </row>
    <row r="1775" spans="1:13" x14ac:dyDescent="0.25">
      <c r="A1775" s="49">
        <f t="shared" si="29"/>
        <v>1773</v>
      </c>
      <c r="B1775" s="36" t="s">
        <v>4</v>
      </c>
      <c r="C1775" s="36" t="s">
        <v>7588</v>
      </c>
      <c r="D1775" s="9" t="s">
        <v>7157</v>
      </c>
      <c r="E1775" s="9" t="s">
        <v>7577</v>
      </c>
      <c r="F1775" s="9" t="s">
        <v>7154</v>
      </c>
      <c r="G1775" s="36" t="s">
        <v>14</v>
      </c>
      <c r="H1775" s="36" t="str">
        <f>IFERROR(VLOOKUP(Table2[[#This Row], [Ticket]],Okey!A:B,2,0),"")</f>
        <v/>
      </c>
      <c r="I1775" s="36"/>
      <c r="J1775" s="36" t="str">
        <f>VLOOKUP(Table2[[#This Row], [Author]],People!A:B,2,0)</f>
        <v>HC</v>
      </c>
      <c r="M1775" s="36" t="s">
        <v>1613</v>
      </c>
    </row>
    <row r="1776" spans="1:13" x14ac:dyDescent="0.25">
      <c r="A1776" s="49">
        <f t="shared" si="29"/>
        <v>1774</v>
      </c>
      <c r="B1776" s="36" t="s">
        <v>4</v>
      </c>
      <c r="C1776" s="36" t="s">
        <v>7588</v>
      </c>
      <c r="D1776" s="9" t="s">
        <v>7158</v>
      </c>
      <c r="E1776" s="9" t="s">
        <v>7578</v>
      </c>
      <c r="F1776" s="9" t="s">
        <v>7154</v>
      </c>
      <c r="G1776" s="36" t="s">
        <v>14</v>
      </c>
      <c r="H1776" s="36" t="str">
        <f>IFERROR(VLOOKUP(Table2[[#This Row], [Ticket]],Okey!A:B,2,0),"")</f>
        <v/>
      </c>
      <c r="I1776" s="36"/>
      <c r="J1776" s="36" t="str">
        <f>VLOOKUP(Table2[[#This Row], [Author]],People!A:B,2,0)</f>
        <v>HC</v>
      </c>
      <c r="M1776" s="36" t="s">
        <v>1613</v>
      </c>
    </row>
    <row r="1777" spans="1:13" x14ac:dyDescent="0.25">
      <c r="A1777" s="49">
        <f t="shared" si="29"/>
        <v>1775</v>
      </c>
      <c r="B1777" s="36" t="s">
        <v>4</v>
      </c>
      <c r="C1777" s="36" t="s">
        <v>7588</v>
      </c>
      <c r="D1777" s="9" t="s">
        <v>7159</v>
      </c>
      <c r="E1777" s="9" t="s">
        <v>7579</v>
      </c>
      <c r="F1777" s="9" t="s">
        <v>7154</v>
      </c>
      <c r="G1777" s="36" t="s">
        <v>14</v>
      </c>
      <c r="H1777" s="36" t="str">
        <f>IFERROR(VLOOKUP(Table2[[#This Row], [Ticket]],Okey!A:B,2,0),"")</f>
        <v/>
      </c>
      <c r="I1777" s="36"/>
      <c r="J1777" s="36" t="str">
        <f>VLOOKUP(Table2[[#This Row], [Author]],People!A:B,2,0)</f>
        <v>HC</v>
      </c>
      <c r="M1777" s="36" t="s">
        <v>1613</v>
      </c>
    </row>
    <row r="1778" spans="1:13" x14ac:dyDescent="0.25">
      <c r="A1778" s="49">
        <f t="shared" si="29"/>
        <v>1776</v>
      </c>
      <c r="B1778" s="36" t="s">
        <v>4</v>
      </c>
      <c r="C1778" s="36" t="s">
        <v>7588</v>
      </c>
      <c r="D1778" s="9" t="s">
        <v>7160</v>
      </c>
      <c r="E1778" s="9" t="s">
        <v>7580</v>
      </c>
      <c r="F1778" s="9" t="s">
        <v>6718</v>
      </c>
      <c r="G1778" s="36" t="s">
        <v>14</v>
      </c>
      <c r="H1778" s="36" t="str">
        <f>IFERROR(VLOOKUP(Table2[[#This Row], [Ticket]],Okey!A:B,2,0),"")</f>
        <v/>
      </c>
      <c r="I1778" s="36"/>
      <c r="J1778" s="36" t="str">
        <f>VLOOKUP(Table2[[#This Row], [Author]],People!A:B,2,0)</f>
        <v>HC</v>
      </c>
      <c r="M1778" s="36" t="s">
        <v>1613</v>
      </c>
    </row>
    <row r="1779" spans="1:13" x14ac:dyDescent="0.25">
      <c r="A1779" s="49">
        <f t="shared" si="29"/>
        <v>1777</v>
      </c>
      <c r="B1779" s="36" t="s">
        <v>4</v>
      </c>
      <c r="C1779" s="36" t="s">
        <v>7588</v>
      </c>
      <c r="D1779" s="9" t="s">
        <v>7161</v>
      </c>
      <c r="E1779" s="9" t="s">
        <v>7581</v>
      </c>
      <c r="F1779" s="9" t="s">
        <v>7160</v>
      </c>
      <c r="G1779" s="36" t="s">
        <v>14</v>
      </c>
      <c r="H1779" s="36" t="str">
        <f>IFERROR(VLOOKUP(Table2[[#This Row], [Ticket]],Okey!A:B,2,0),"")</f>
        <v/>
      </c>
      <c r="I1779" s="36"/>
      <c r="J1779" s="36" t="str">
        <f>VLOOKUP(Table2[[#This Row], [Author]],People!A:B,2,0)</f>
        <v>HC</v>
      </c>
      <c r="M1779" s="36" t="s">
        <v>1613</v>
      </c>
    </row>
    <row r="1780" spans="1:13" x14ac:dyDescent="0.25">
      <c r="A1780" s="49">
        <f t="shared" si="29"/>
        <v>1778</v>
      </c>
      <c r="B1780" s="36" t="s">
        <v>4</v>
      </c>
      <c r="C1780" s="36" t="s">
        <v>7588</v>
      </c>
      <c r="D1780" s="9" t="s">
        <v>7162</v>
      </c>
      <c r="E1780" s="9" t="s">
        <v>7582</v>
      </c>
      <c r="F1780" s="9" t="s">
        <v>7160</v>
      </c>
      <c r="G1780" s="36" t="s">
        <v>14</v>
      </c>
      <c r="H1780" s="36" t="str">
        <f>IFERROR(VLOOKUP(Table2[[#This Row], [Ticket]],Okey!A:B,2,0),"")</f>
        <v/>
      </c>
      <c r="I1780" s="36"/>
      <c r="J1780" s="36" t="str">
        <f>VLOOKUP(Table2[[#This Row], [Author]],People!A:B,2,0)</f>
        <v>HC</v>
      </c>
      <c r="M1780" s="36" t="s">
        <v>1613</v>
      </c>
    </row>
    <row r="1781" spans="1:13" x14ac:dyDescent="0.25">
      <c r="A1781" s="49">
        <f t="shared" si="29"/>
        <v>1779</v>
      </c>
      <c r="B1781" s="36" t="s">
        <v>4</v>
      </c>
      <c r="C1781" s="36" t="s">
        <v>7588</v>
      </c>
      <c r="D1781" s="9" t="s">
        <v>7163</v>
      </c>
      <c r="E1781" s="9" t="s">
        <v>7583</v>
      </c>
      <c r="F1781" s="9" t="s">
        <v>7162</v>
      </c>
      <c r="G1781" s="36" t="s">
        <v>14</v>
      </c>
      <c r="H1781" s="36" t="str">
        <f>IFERROR(VLOOKUP(Table2[[#This Row], [Ticket]],Okey!A:B,2,0),"")</f>
        <v/>
      </c>
      <c r="I1781" s="36"/>
      <c r="J1781" s="36" t="str">
        <f>VLOOKUP(Table2[[#This Row], [Author]],People!A:B,2,0)</f>
        <v>HC</v>
      </c>
      <c r="M1781" s="36" t="s">
        <v>1613</v>
      </c>
    </row>
    <row r="1782" spans="1:13" x14ac:dyDescent="0.25">
      <c r="A1782" s="49">
        <f t="shared" si="29"/>
        <v>1780</v>
      </c>
      <c r="B1782" s="36" t="s">
        <v>4</v>
      </c>
      <c r="C1782" s="36" t="s">
        <v>7588</v>
      </c>
      <c r="D1782" s="9" t="s">
        <v>7164</v>
      </c>
      <c r="E1782" s="9" t="s">
        <v>7584</v>
      </c>
      <c r="F1782" s="9" t="s">
        <v>7162</v>
      </c>
      <c r="G1782" s="36" t="s">
        <v>14</v>
      </c>
      <c r="H1782" s="36" t="str">
        <f>IFERROR(VLOOKUP(Table2[[#This Row], [Ticket]],Okey!A:B,2,0),"")</f>
        <v/>
      </c>
      <c r="I1782" s="36"/>
      <c r="J1782" s="36" t="str">
        <f>VLOOKUP(Table2[[#This Row], [Author]],People!A:B,2,0)</f>
        <v>HC</v>
      </c>
      <c r="M1782" s="36" t="s">
        <v>1613</v>
      </c>
    </row>
    <row r="1783" spans="1:13" x14ac:dyDescent="0.25">
      <c r="A1783" s="49">
        <f t="shared" si="29"/>
        <v>1781</v>
      </c>
      <c r="B1783" s="36" t="s">
        <v>4</v>
      </c>
      <c r="C1783" s="36" t="s">
        <v>7588</v>
      </c>
      <c r="D1783" s="9" t="s">
        <v>7165</v>
      </c>
      <c r="E1783" s="9" t="s">
        <v>7585</v>
      </c>
      <c r="F1783" s="9" t="s">
        <v>7160</v>
      </c>
      <c r="G1783" s="36" t="s">
        <v>14</v>
      </c>
      <c r="H1783" s="36" t="str">
        <f>IFERROR(VLOOKUP(Table2[[#This Row], [Ticket]],Okey!A:B,2,0),"")</f>
        <v/>
      </c>
      <c r="I1783" s="36"/>
      <c r="J1783" s="36" t="str">
        <f>VLOOKUP(Table2[[#This Row], [Author]],People!A:B,2,0)</f>
        <v>HC</v>
      </c>
      <c r="M1783" s="36" t="s">
        <v>1613</v>
      </c>
    </row>
    <row r="1784" spans="1:13" x14ac:dyDescent="0.25">
      <c r="A1784" s="49">
        <f t="shared" si="29"/>
        <v>1782</v>
      </c>
      <c r="B1784" s="36" t="s">
        <v>4</v>
      </c>
      <c r="C1784" s="36" t="s">
        <v>7588</v>
      </c>
      <c r="D1784" s="9" t="s">
        <v>7166</v>
      </c>
      <c r="E1784" s="9" t="s">
        <v>7586</v>
      </c>
      <c r="F1784" s="9" t="s">
        <v>7165</v>
      </c>
      <c r="G1784" s="36" t="s">
        <v>14</v>
      </c>
      <c r="H1784" s="36" t="str">
        <f>IFERROR(VLOOKUP(Table2[[#This Row], [Ticket]],Okey!A:B,2,0),"")</f>
        <v/>
      </c>
      <c r="I1784" s="36"/>
      <c r="J1784" s="36" t="str">
        <f>VLOOKUP(Table2[[#This Row], [Author]],People!A:B,2,0)</f>
        <v>HC</v>
      </c>
      <c r="M1784" s="36" t="s">
        <v>1613</v>
      </c>
    </row>
    <row r="1785" spans="1:13" x14ac:dyDescent="0.25">
      <c r="A1785" s="49">
        <f t="shared" si="29"/>
        <v>1783</v>
      </c>
      <c r="B1785" s="36" t="s">
        <v>4</v>
      </c>
      <c r="C1785" s="36" t="s">
        <v>7588</v>
      </c>
      <c r="D1785" s="9" t="s">
        <v>7167</v>
      </c>
      <c r="E1785" s="9" t="s">
        <v>7587</v>
      </c>
      <c r="F1785" s="9" t="s">
        <v>7165</v>
      </c>
      <c r="G1785" s="36" t="s">
        <v>14</v>
      </c>
      <c r="H1785" s="36" t="str">
        <f>IFERROR(VLOOKUP(Table2[[#This Row], [Ticket]],Okey!A:B,2,0),"")</f>
        <v/>
      </c>
      <c r="I1785" s="36"/>
      <c r="J1785" s="36" t="str">
        <f>VLOOKUP(Table2[[#This Row], [Author]],People!A:B,2,0)</f>
        <v>HC</v>
      </c>
      <c r="M1785" s="36" t="s">
        <v>1613</v>
      </c>
    </row>
    <row r="1786" spans="1:13" x14ac:dyDescent="0.25">
      <c r="A1786" s="49">
        <f t="shared" si="29"/>
        <v>1784</v>
      </c>
      <c r="B1786" s="36" t="s">
        <v>4</v>
      </c>
      <c r="C1786" s="9" t="s">
        <v>7592</v>
      </c>
      <c r="D1786" s="9" t="s">
        <v>7590</v>
      </c>
      <c r="F1786" s="9" t="s">
        <v>7591</v>
      </c>
      <c r="G1786" s="9" t="s">
        <v>13</v>
      </c>
      <c r="H1786" s="36" t="str">
        <f>IFERROR(VLOOKUP(Table2[[#This Row], [Ticket]],Okey!A:B,2,0),"")</f>
        <v/>
      </c>
      <c r="J1786" s="36" t="str">
        <f>VLOOKUP(Table2[[#This Row], [Author]],People!A:B,2,0)</f>
        <v>MGF</v>
      </c>
      <c r="M1786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2F7E9-FE01-40E2-B3F1-C6959AEDEACC}">
  <dimension ref="A1:G8"/>
  <sheetViews>
    <sheetView workbookViewId="0">
      <selection activeCell="A6" sqref="A6:B8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6771</v>
      </c>
      <c r="B2" t="s">
        <v>6768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6769</v>
      </c>
      <c r="B3" t="s">
        <v>6770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6" spans="1:7" x14ac:dyDescent="0.25">
      <c r="A6">
        <v>1000</v>
      </c>
    </row>
    <row r="7" spans="1:7" x14ac:dyDescent="0.25">
      <c r="A7" t="s">
        <v>990</v>
      </c>
      <c r="B7" t="s">
        <v>6771</v>
      </c>
    </row>
    <row r="8" spans="1:7" x14ac:dyDescent="0.25">
      <c r="A8" t="s">
        <v>6771</v>
      </c>
      <c r="B8" t="s">
        <v>6769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E051-AC10-420E-A90C-1927C09EE0DF}">
  <dimension ref="A1:G6"/>
  <sheetViews>
    <sheetView workbookViewId="0">
      <selection activeCell="B6" sqref="B6"/>
    </sheetView>
  </sheetViews>
  <sheetFormatPr defaultRowHeight="15" x14ac:dyDescent="0.25"/>
  <cols>
    <col min="2" max="2" width="22.7109375" bestFit="1" customWidth="1"/>
    <col min="3" max="3" width="24.85546875" bestFit="1" customWidth="1"/>
  </cols>
  <sheetData>
    <row r="1" spans="1:7" x14ac:dyDescent="0.25">
      <c r="A1">
        <v>1000</v>
      </c>
    </row>
    <row r="2" spans="1:7" x14ac:dyDescent="0.25">
      <c r="A2" s="55" t="s">
        <v>6766</v>
      </c>
      <c r="B2" s="56" t="s">
        <v>6762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s="55" t="s">
        <v>6565</v>
      </c>
      <c r="B3" s="55" t="s">
        <v>6476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6" spans="1:7" x14ac:dyDescent="0.25">
      <c r="A6" s="56" t="s">
        <v>6765</v>
      </c>
      <c r="B6" s="55" t="s">
        <v>6766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19C9-58C0-4783-A9D7-EAD4A5781678}">
  <dimension ref="A1:G25"/>
  <sheetViews>
    <sheetView workbookViewId="0">
      <selection activeCell="V36" sqref="V36"/>
    </sheetView>
  </sheetViews>
  <sheetFormatPr defaultRowHeight="15" x14ac:dyDescent="0.25"/>
  <cols>
    <col min="1" max="1" width="11.28515625" bestFit="1" customWidth="1"/>
    <col min="2" max="2" width="36.5703125" bestFit="1" customWidth="1"/>
  </cols>
  <sheetData>
    <row r="1" spans="1:7" x14ac:dyDescent="0.25">
      <c r="A1" s="55" t="s">
        <v>6759</v>
      </c>
    </row>
    <row r="8" spans="1:7" x14ac:dyDescent="0.25">
      <c r="A8">
        <v>1000</v>
      </c>
    </row>
    <row r="9" spans="1:7" x14ac:dyDescent="0.25">
      <c r="A9" t="s">
        <v>6759</v>
      </c>
      <c r="B9" t="s">
        <v>6751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6754</v>
      </c>
      <c r="B10" t="s">
        <v>6751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6760</v>
      </c>
      <c r="B11" t="s">
        <v>6752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6755</v>
      </c>
      <c r="B12" t="s">
        <v>6752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6761</v>
      </c>
      <c r="B13" t="s">
        <v>6753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6756</v>
      </c>
      <c r="B14" t="s">
        <v>6753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6655</v>
      </c>
      <c r="B15" t="s">
        <v>6757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6652</v>
      </c>
      <c r="B16" t="s">
        <v>6757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9" spans="1:2" x14ac:dyDescent="0.25">
      <c r="A19">
        <v>1000</v>
      </c>
    </row>
    <row r="20" spans="1:2" x14ac:dyDescent="0.25">
      <c r="A20" s="55" t="s">
        <v>5278</v>
      </c>
      <c r="B20" s="55" t="s">
        <v>6759</v>
      </c>
    </row>
    <row r="21" spans="1:2" x14ac:dyDescent="0.25">
      <c r="A21" s="55" t="s">
        <v>6759</v>
      </c>
      <c r="B21" s="55" t="s">
        <v>6754</v>
      </c>
    </row>
    <row r="22" spans="1:2" x14ac:dyDescent="0.25">
      <c r="A22" s="55" t="s">
        <v>5278</v>
      </c>
      <c r="B22" s="55" t="s">
        <v>6760</v>
      </c>
    </row>
    <row r="23" spans="1:2" x14ac:dyDescent="0.25">
      <c r="A23" s="55" t="s">
        <v>6760</v>
      </c>
      <c r="B23" s="55" t="s">
        <v>6755</v>
      </c>
    </row>
    <row r="24" spans="1:2" x14ac:dyDescent="0.25">
      <c r="A24" s="55" t="s">
        <v>5278</v>
      </c>
      <c r="B24" s="55" t="s">
        <v>6761</v>
      </c>
    </row>
    <row r="25" spans="1:2" x14ac:dyDescent="0.25">
      <c r="A25" s="55" t="s">
        <v>6761</v>
      </c>
      <c r="B25" s="55" t="s">
        <v>6756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25">
      <c r="A30">
        <v>1000</v>
      </c>
    </row>
    <row r="31" spans="1:7" x14ac:dyDescent="0.25">
      <c r="A31" t="s">
        <v>6114</v>
      </c>
      <c r="B31" t="s">
        <v>6716</v>
      </c>
    </row>
    <row r="32" spans="1:7" x14ac:dyDescent="0.25">
      <c r="A32" t="s">
        <v>6716</v>
      </c>
      <c r="B32" t="s">
        <v>6725</v>
      </c>
    </row>
    <row r="33" spans="1:2" x14ac:dyDescent="0.25">
      <c r="A33" t="s">
        <v>6114</v>
      </c>
      <c r="B33" t="s">
        <v>6718</v>
      </c>
    </row>
    <row r="34" spans="1:2" x14ac:dyDescent="0.25">
      <c r="A34" t="s">
        <v>6718</v>
      </c>
      <c r="B34" t="s">
        <v>6726</v>
      </c>
    </row>
    <row r="35" spans="1:2" x14ac:dyDescent="0.25">
      <c r="A35" t="s">
        <v>6718</v>
      </c>
      <c r="B35" t="s">
        <v>6719</v>
      </c>
    </row>
    <row r="36" spans="1:2" x14ac:dyDescent="0.25">
      <c r="A36" t="s">
        <v>6719</v>
      </c>
      <c r="B36" t="s">
        <v>6727</v>
      </c>
    </row>
    <row r="37" spans="1:2" x14ac:dyDescent="0.25">
      <c r="A37" t="s">
        <v>6719</v>
      </c>
      <c r="B37" t="s">
        <v>6728</v>
      </c>
    </row>
    <row r="38" spans="1:2" x14ac:dyDescent="0.25">
      <c r="A38" t="s">
        <v>6719</v>
      </c>
      <c r="B38" t="s">
        <v>6720</v>
      </c>
    </row>
    <row r="39" spans="1:2" x14ac:dyDescent="0.25">
      <c r="A39" t="s">
        <v>6720</v>
      </c>
      <c r="B39" t="s">
        <v>6729</v>
      </c>
    </row>
    <row r="40" spans="1:2" x14ac:dyDescent="0.25">
      <c r="A40" t="s">
        <v>6720</v>
      </c>
      <c r="B40" t="s">
        <v>6730</v>
      </c>
    </row>
    <row r="41" spans="1:2" x14ac:dyDescent="0.25">
      <c r="A41" t="s">
        <v>6719</v>
      </c>
      <c r="B41" t="s">
        <v>6721</v>
      </c>
    </row>
    <row r="42" spans="1:2" x14ac:dyDescent="0.25">
      <c r="A42" t="s">
        <v>6721</v>
      </c>
      <c r="B42" t="s">
        <v>6731</v>
      </c>
    </row>
    <row r="43" spans="1:2" x14ac:dyDescent="0.25">
      <c r="A43" t="s">
        <v>6721</v>
      </c>
      <c r="B43" t="s">
        <v>6732</v>
      </c>
    </row>
    <row r="44" spans="1:2" x14ac:dyDescent="0.25">
      <c r="A44" t="s">
        <v>6721</v>
      </c>
      <c r="B44" t="s">
        <v>6733</v>
      </c>
    </row>
    <row r="45" spans="1:2" x14ac:dyDescent="0.25">
      <c r="A45" t="s">
        <v>6721</v>
      </c>
      <c r="B45" t="s">
        <v>6734</v>
      </c>
    </row>
    <row r="46" spans="1:2" x14ac:dyDescent="0.25">
      <c r="A46" t="s">
        <v>6721</v>
      </c>
      <c r="B46" t="s">
        <v>6735</v>
      </c>
    </row>
    <row r="47" spans="1:2" x14ac:dyDescent="0.25">
      <c r="A47" t="s">
        <v>6718</v>
      </c>
      <c r="B47" t="s">
        <v>6722</v>
      </c>
    </row>
    <row r="48" spans="1:2" x14ac:dyDescent="0.25">
      <c r="A48" t="s">
        <v>6722</v>
      </c>
      <c r="B48" t="s">
        <v>6736</v>
      </c>
    </row>
    <row r="49" spans="1:2" x14ac:dyDescent="0.25">
      <c r="A49" t="s">
        <v>6722</v>
      </c>
      <c r="B49" t="s">
        <v>6723</v>
      </c>
    </row>
    <row r="50" spans="1:2" x14ac:dyDescent="0.25">
      <c r="A50" t="s">
        <v>6723</v>
      </c>
      <c r="B50" t="s">
        <v>6737</v>
      </c>
    </row>
    <row r="51" spans="1:2" x14ac:dyDescent="0.25">
      <c r="A51" t="s">
        <v>6723</v>
      </c>
      <c r="B51" t="s">
        <v>6738</v>
      </c>
    </row>
    <row r="52" spans="1:2" x14ac:dyDescent="0.25">
      <c r="A52" t="s">
        <v>6722</v>
      </c>
      <c r="B52" t="s">
        <v>6724</v>
      </c>
    </row>
    <row r="53" spans="1:2" x14ac:dyDescent="0.25">
      <c r="A53" t="s">
        <v>6724</v>
      </c>
      <c r="B53" t="s">
        <v>6739</v>
      </c>
    </row>
    <row r="54" spans="1:2" x14ac:dyDescent="0.25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  <row r="55" spans="1:2" x14ac:dyDescent="0.25">
      <c r="A55" s="5" t="s">
        <v>6764</v>
      </c>
      <c r="B55" s="36" t="s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LS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LS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LS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LS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LS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LS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LS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LS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LS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LS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LS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HC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str">
        <f>VLOOKUP(Table2[[#This Row], [Author]],People!A:B,2,0)</f>
        <v>HC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str">
        <f>VLOOKUP(Table2[[#This Row], [Author]],People!A:B,2,0)</f>
        <v>HC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str">
        <f>VLOOKUP(Table2[[#This Row], [Author]],People!A:B,2,0)</f>
        <v>HC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str">
        <f>VLOOKUP(Table2[[#This Row], [Author]],People!A:B,2,0)</f>
        <v>HC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str">
        <f>VLOOKUP(Table2[[#This Row], [Author]],People!A:B,2,0)</f>
        <v>HC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str">
        <f>VLOOKUP(Table2[[#This Row], [Author]],People!A:B,2,0)</f>
        <v>HC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str">
        <f>VLOOKUP(Table2[[#This Row], [Author]],People!A:B,2,0)</f>
        <v>HC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str">
        <f>VLOOKUP(Table2[[#This Row], [Author]],People!A:B,2,0)</f>
        <v>HC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str">
        <f>VLOOKUP(Table2[[#This Row], [Author]],People!A:B,2,0)</f>
        <v>HC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str">
        <f>VLOOKUP(Table2[[#This Row], [Author]],People!A:B,2,0)</f>
        <v>HC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str">
        <f>VLOOKUP(Table2[[#This Row], [Author]],People!A:B,2,0)</f>
        <v>HC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str">
        <f>VLOOKUP(Table2[[#This Row], [Author]],People!A:B,2,0)</f>
        <v>HC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str">
        <f>VLOOKUP(Table2[[#This Row], [Author]],People!A:B,2,0)</f>
        <v>HC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str">
        <f>VLOOKUP(Table2[[#This Row], [Author]],People!A:B,2,0)</f>
        <v>HC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str">
        <f>VLOOKUP(Table2[[#This Row], [Author]],People!A:B,2,0)</f>
        <v>HC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str">
        <f>VLOOKUP(Table2[[#This Row], [Author]],People!A:B,2,0)</f>
        <v>HC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str">
        <f>VLOOKUP(Table2[[#This Row], [Author]],People!A:B,2,0)</f>
        <v>HC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str">
        <f>VLOOKUP(Table2[[#This Row], [Author]],People!A:B,2,0)</f>
        <v>HC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str">
        <f>VLOOKUP(Table2[[#This Row], [Author]],People!A:B,2,0)</f>
        <v>HC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str">
        <f>VLOOKUP(Table2[[#This Row], [Author]],People!A:B,2,0)</f>
        <v>HC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str">
        <f>VLOOKUP(Table2[[#This Row], [Author]],People!A:B,2,0)</f>
        <v>HC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str">
        <f>VLOOKUP(Table2[[#This Row], [Author]],People!A:B,2,0)</f>
        <v>HC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str">
        <f>VLOOKUP(Table2[[#This Row], [Author]],People!A:B,2,0)</f>
        <v>HC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str">
        <f>VLOOKUP(Table2[[#This Row], [Author]],People!A:B,2,0)</f>
        <v>HC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str">
        <f>VLOOKUP(Table2[[#This Row], [Author]],People!A:B,2,0)</f>
        <v>HC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str">
        <f>VLOOKUP(Table2[[#This Row], [Author]],People!A:B,2,0)</f>
        <v>HC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str">
        <f>VLOOKUP(Table2[[#This Row], [Author]],People!A:B,2,0)</f>
        <v>HC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str">
        <f>VLOOKUP(Table2[[#This Row], [Author]],People!A:B,2,0)</f>
        <v>HC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str">
        <f>VLOOKUP(Table2[[#This Row], [Author]],People!A:B,2,0)</f>
        <v>HC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str">
        <f>VLOOKUP(Table2[[#This Row], [Author]],People!A:B,2,0)</f>
        <v>HC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str">
        <f>VLOOKUP(Table2[[#This Row], [Author]],People!A:B,2,0)</f>
        <v>HC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str">
        <f>VLOOKUP(Table2[[#This Row], [Author]],People!A:B,2,0)</f>
        <v>HC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HC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HC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HC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HC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str">
        <f>VLOOKUP(Table2[[#This Row], [Author]],People!A:B,2,0)</f>
        <v>HC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str">
        <f>VLOOKUP(Table2[[#This Row], [Author]],People!A:B,2,0)</f>
        <v>HC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str">
        <f>VLOOKUP(Table2[[#This Row], [Author]],People!A:B,2,0)</f>
        <v>HC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str">
        <f>VLOOKUP(Table2[[#This Row], [Author]],People!A:B,2,0)</f>
        <v>HC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str">
        <f>VLOOKUP(Table2[[#This Row], [Author]],People!A:B,2,0)</f>
        <v>HC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HC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HC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HC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HC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HC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HC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HC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HC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HC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HC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HC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HC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HC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HC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HC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HC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HC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HC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HC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HC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HC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HC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HC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HC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HC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HC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HC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HC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HC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HC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HC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HC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HC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HC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HC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HC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HC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HC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HC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HC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HC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str">
        <f>VLOOKUP(Table2[[#This Row], [Author]],People!A:B,2,0)</f>
        <v>HC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str">
        <f>VLOOKUP(Table2[[#This Row], [Author]],People!A:B,2,0)</f>
        <v>HC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HC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HC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HC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HC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str">
        <f>VLOOKUP(Table2[[#This Row], [Author]],People!A:B,2,0)</f>
        <v>HC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str">
        <f>VLOOKUP(Table2[[#This Row], [Author]],People!A:B,2,0)</f>
        <v>HC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str">
        <f>VLOOKUP(Table2[[#This Row], [Author]],People!A:B,2,0)</f>
        <v>HC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str">
        <f>VLOOKUP(Table2[[#This Row], [Author]],People!A:B,2,0)</f>
        <v>HC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str">
        <f>VLOOKUP(Table2[[#This Row], [Author]],People!A:B,2,0)</f>
        <v>HC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str">
        <f>VLOOKUP(Table2[[#This Row], [Author]],People!A:B,2,0)</f>
        <v>HC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str">
        <f>VLOOKUP(Table2[[#This Row], [Author]],People!A:B,2,0)</f>
        <v>HC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str">
        <f>VLOOKUP(Table2[[#This Row], [Author]],People!A:B,2,0)</f>
        <v>HC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str">
        <f>VLOOKUP(Table2[[#This Row], [Author]],People!A:B,2,0)</f>
        <v>HC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str">
        <f>VLOOKUP(Table2[[#This Row], [Author]],People!A:B,2,0)</f>
        <v>HC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str">
        <f>VLOOKUP(Table2[[#This Row], [Author]],People!A:B,2,0)</f>
        <v>HC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str">
        <f>VLOOKUP(Table2[[#This Row], [Author]],People!A:B,2,0)</f>
        <v>HC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HC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HC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HC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HC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HC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HC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HC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HC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HC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HC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HC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HC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HC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HC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HC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HC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HC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HC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HC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HC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HC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HC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HC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HC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HC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HC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HC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HC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HC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HC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HC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HC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HC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HC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HC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HC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HC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HC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HC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HC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HC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HC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HC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HC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HC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HC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HC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str">
        <f>VLOOKUP(Table2[[#This Row], [Author]],People!A:B,2,0)</f>
        <v>HC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str">
        <f>VLOOKUP(Table2[[#This Row], [Author]],People!A:B,2,0)</f>
        <v>HC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str">
        <f>VLOOKUP(Table2[[#This Row], [Author]],People!A:B,2,0)</f>
        <v>HC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str">
        <f>VLOOKUP(Table2[[#This Row], [Author]],People!A:B,2,0)</f>
        <v>HC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str">
        <f>VLOOKUP(Table2[[#This Row], [Author]],People!A:B,2,0)</f>
        <v>HC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str">
        <f>VLOOKUP(Table2[[#This Row], [Author]],People!A:B,2,0)</f>
        <v>HC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str">
        <f>VLOOKUP(Table2[[#This Row], [Author]],People!A:B,2,0)</f>
        <v>HC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str">
        <f>VLOOKUP(Table2[[#This Row], [Author]],People!A:B,2,0)</f>
        <v>HC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str">
        <f>VLOOKUP(Table2[[#This Row], [Author]],People!A:B,2,0)</f>
        <v>HC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str">
        <f>VLOOKUP(Table2[[#This Row], [Author]],People!A:B,2,0)</f>
        <v>HC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str">
        <f>VLOOKUP(Table2[[#This Row], [Author]],People!A:B,2,0)</f>
        <v>HC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str">
        <f>VLOOKUP(Table2[[#This Row], [Author]],People!A:B,2,0)</f>
        <v>HC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str">
        <f>VLOOKUP(Table2[[#This Row], [Author]],People!A:B,2,0)</f>
        <v>HC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str">
        <f>VLOOKUP(Table2[[#This Row], [Author]],People!A:B,2,0)</f>
        <v>HC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str">
        <f>VLOOKUP(Table2[[#This Row], [Author]],People!A:B,2,0)</f>
        <v>HC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str">
        <f>VLOOKUP(Table2[[#This Row], [Author]],People!A:B,2,0)</f>
        <v>HC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str">
        <f>VLOOKUP(Table2[[#This Row], [Author]],People!A:B,2,0)</f>
        <v>HC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str">
        <f>VLOOKUP(Table2[[#This Row], [Author]],People!A:B,2,0)</f>
        <v>HC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str">
        <f>VLOOKUP(Table2[[#This Row], [Author]],People!A:B,2,0)</f>
        <v>HC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str">
        <f>VLOOKUP(Table2[[#This Row], [Author]],People!A:B,2,0)</f>
        <v>HC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str">
        <f>VLOOKUP(Table2[[#This Row], [Author]],People!A:B,2,0)</f>
        <v>HC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str">
        <f>VLOOKUP(Table2[[#This Row], [Author]],People!A:B,2,0)</f>
        <v>HC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str">
        <f>VLOOKUP(Table2[[#This Row], [Author]],People!A:B,2,0)</f>
        <v>HC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str">
        <f>VLOOKUP(Table2[[#This Row], [Author]],People!A:B,2,0)</f>
        <v>HC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str">
        <f>VLOOKUP(Table2[[#This Row], [Author]],People!A:B,2,0)</f>
        <v>HC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str">
        <f>VLOOKUP(Table2[[#This Row], [Author]],People!A:B,2,0)</f>
        <v>HC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str">
        <f>VLOOKUP(Table2[[#This Row], [Author]],People!A:B,2,0)</f>
        <v>HC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str">
        <f>VLOOKUP(Table2[[#This Row], [Author]],People!A:B,2,0)</f>
        <v>HC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str">
        <f>VLOOKUP(Table2[[#This Row], [Author]],People!A:B,2,0)</f>
        <v>HC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str">
        <f>VLOOKUP(Table2[[#This Row], [Author]],People!A:B,2,0)</f>
        <v>HC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str">
        <f>VLOOKUP(Table2[[#This Row], [Author]],People!A:B,2,0)</f>
        <v>HC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str">
        <f>VLOOKUP(Table2[[#This Row], [Author]],People!A:B,2,0)</f>
        <v>HC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str">
        <f>VLOOKUP(Table2[[#This Row], [Author]],People!A:B,2,0)</f>
        <v>HC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str">
        <f>VLOOKUP(Table2[[#This Row], [Author]],People!A:B,2,0)</f>
        <v>HC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str">
        <f>VLOOKUP(Table2[[#This Row], [Author]],People!A:B,2,0)</f>
        <v>HC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str">
        <f>VLOOKUP(Table2[[#This Row], [Author]],People!A:B,2,0)</f>
        <v>HC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str">
        <f>VLOOKUP(Table2[[#This Row], [Author]],People!A:B,2,0)</f>
        <v>HC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str">
        <f>VLOOKUP(Table2[[#This Row], [Author]],People!A:B,2,0)</f>
        <v>HC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str">
        <f>VLOOKUP(Table2[[#This Row], [Author]],People!A:B,2,0)</f>
        <v>HC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str">
        <f>VLOOKUP(Table2[[#This Row], [Author]],People!A:B,2,0)</f>
        <v>HC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str">
        <f>VLOOKUP(Table2[[#This Row], [Author]],People!A:B,2,0)</f>
        <v>HC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str">
        <f>VLOOKUP(Table2[[#This Row], [Author]],People!A:B,2,0)</f>
        <v>HC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str">
        <f>VLOOKUP(Table2[[#This Row], [Author]],People!A:B,2,0)</f>
        <v>HC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str">
        <f>VLOOKUP(Table2[[#This Row], [Author]],People!A:B,2,0)</f>
        <v>HC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str">
        <f>VLOOKUP(Table2[[#This Row], [Author]],People!A:B,2,0)</f>
        <v>HC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str">
        <f>VLOOKUP(Table2[[#This Row], [Author]],People!A:B,2,0)</f>
        <v>HC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str">
        <f>VLOOKUP(Table2[[#This Row], [Author]],People!A:B,2,0)</f>
        <v>HC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str">
        <f>VLOOKUP(Table2[[#This Row], [Author]],People!A:B,2,0)</f>
        <v>HC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str">
        <f>VLOOKUP(Table2[[#This Row], [Author]],People!A:B,2,0)</f>
        <v>HC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str">
        <f>VLOOKUP(Table2[[#This Row], [Author]],People!A:B,2,0)</f>
        <v>HC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str">
        <f>VLOOKUP(Table2[[#This Row], [Author]],People!A:B,2,0)</f>
        <v>HC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str">
        <f>VLOOKUP(Table2[[#This Row], [Author]],People!A:B,2,0)</f>
        <v>HC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str">
        <f>VLOOKUP(Table2[[#This Row], [Author]],People!A:B,2,0)</f>
        <v>HC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str">
        <f>VLOOKUP(Table2[[#This Row], [Author]],People!A:B,2,0)</f>
        <v>HC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str">
        <f>VLOOKUP(Table2[[#This Row], [Author]],People!A:B,2,0)</f>
        <v>HC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str">
        <f>VLOOKUP(Table2[[#This Row], [Author]],People!A:B,2,0)</f>
        <v>HC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str">
        <f>VLOOKUP(Table2[[#This Row], [Author]],People!A:B,2,0)</f>
        <v>HC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str">
        <f>VLOOKUP(Table2[[#This Row], [Author]],People!A:B,2,0)</f>
        <v>HC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str">
        <f>VLOOKUP(Table2[[#This Row], [Author]],People!A:B,2,0)</f>
        <v>HC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str">
        <f>VLOOKUP(Table2[[#This Row], [Author]],People!A:B,2,0)</f>
        <v>HC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str">
        <f>VLOOKUP(Table2[[#This Row], [Author]],People!A:B,2,0)</f>
        <v>HC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str">
        <f>VLOOKUP(Table2[[#This Row], [Author]],People!A:B,2,0)</f>
        <v>HC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str">
        <f>VLOOKUP(Table2[[#This Row], [Author]],People!A:B,2,0)</f>
        <v>HC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str">
        <f>VLOOKUP(Table2[[#This Row], [Author]],People!A:B,2,0)</f>
        <v>HC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str">
        <f>VLOOKUP(Table2[[#This Row], [Author]],People!A:B,2,0)</f>
        <v>HC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str">
        <f>VLOOKUP(Table2[[#This Row], [Author]],People!A:B,2,0)</f>
        <v>HC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str">
        <f>VLOOKUP(Table2[[#This Row], [Author]],People!A:B,2,0)</f>
        <v>HC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str">
        <f>VLOOKUP(Table2[[#This Row], [Author]],People!A:B,2,0)</f>
        <v>HC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str">
        <f>VLOOKUP(Table2[[#This Row], [Author]],People!A:B,2,0)</f>
        <v>HC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str">
        <f>VLOOKUP(Table2[[#This Row], [Author]],People!A:B,2,0)</f>
        <v>HC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str">
        <f>VLOOKUP(Table2[[#This Row], [Author]],People!A:B,2,0)</f>
        <v>HC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str">
        <f>VLOOKUP(Table2[[#This Row], [Author]],People!A:B,2,0)</f>
        <v>HC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str">
        <f>VLOOKUP(Table2[[#This Row], [Author]],People!A:B,2,0)</f>
        <v>HC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str">
        <f>VLOOKUP(Table2[[#This Row], [Author]],People!A:B,2,0)</f>
        <v>HC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str">
        <f>VLOOKUP(Table2[[#This Row], [Author]],People!A:B,2,0)</f>
        <v>HC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str">
        <f>VLOOKUP(Table2[[#This Row], [Author]],People!A:B,2,0)</f>
        <v>HC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str">
        <f>VLOOKUP(Table2[[#This Row], [Author]],People!A:B,2,0)</f>
        <v>HC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str">
        <f>VLOOKUP(Table2[[#This Row], [Author]],People!A:B,2,0)</f>
        <v>HC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str">
        <f>VLOOKUP(Table2[[#This Row], [Author]],People!A:B,2,0)</f>
        <v>HC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str">
        <f>VLOOKUP(Table2[[#This Row], [Author]],People!A:B,2,0)</f>
        <v>HC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str">
        <f>VLOOKUP(Table2[[#This Row], [Author]],People!A:B,2,0)</f>
        <v>HC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str">
        <f>VLOOKUP(Table2[[#This Row], [Author]],People!A:B,2,0)</f>
        <v>HC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str">
        <f>VLOOKUP(Table2[[#This Row], [Author]],People!A:B,2,0)</f>
        <v>HC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str">
        <f>VLOOKUP(Table2[[#This Row], [Author]],People!A:B,2,0)</f>
        <v>HC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str">
        <f>VLOOKUP(Table2[[#This Row], [Author]],People!A:B,2,0)</f>
        <v>HC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str">
        <f>VLOOKUP(Table2[[#This Row], [Author]],People!A:B,2,0)</f>
        <v>HC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str">
        <f>VLOOKUP(Table2[[#This Row], [Author]],People!A:B,2,0)</f>
        <v>HC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str">
        <f>VLOOKUP(Table2[[#This Row], [Author]],People!A:B,2,0)</f>
        <v>HC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str">
        <f>VLOOKUP(Table2[[#This Row], [Author]],People!A:B,2,0)</f>
        <v>HC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str">
        <f>VLOOKUP(Table2[[#This Row], [Author]],People!A:B,2,0)</f>
        <v>HC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str">
        <f>VLOOKUP(Table2[[#This Row], [Author]],People!A:B,2,0)</f>
        <v>HC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str">
        <f>VLOOKUP(Table2[[#This Row], [Author]],People!A:B,2,0)</f>
        <v>HC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str">
        <f>VLOOKUP(Table2[[#This Row], [Author]],People!A:B,2,0)</f>
        <v>HC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str">
        <f>VLOOKUP(Table2[[#This Row], [Author]],People!A:B,2,0)</f>
        <v>HC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str">
        <f>VLOOKUP(Table2[[#This Row], [Author]],People!A:B,2,0)</f>
        <v>HC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str">
        <f>VLOOKUP(Table2[[#This Row], [Author]],People!A:B,2,0)</f>
        <v>HC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str">
        <f>VLOOKUP(Table2[[#This Row], [Author]],People!A:B,2,0)</f>
        <v>HC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str">
        <f>VLOOKUP(Table2[[#This Row], [Author]],People!A:B,2,0)</f>
        <v>HC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str">
        <f>VLOOKUP(Table2[[#This Row], [Author]],People!A:B,2,0)</f>
        <v>HC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str">
        <f>VLOOKUP(Table2[[#This Row], [Author]],People!A:B,2,0)</f>
        <v>HC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str">
        <f>VLOOKUP(Table2[[#This Row], [Author]],People!A:B,2,0)</f>
        <v>HC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str">
        <f>VLOOKUP(Table2[[#This Row], [Author]],People!A:B,2,0)</f>
        <v>HC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str">
        <f>VLOOKUP(Table2[[#This Row], [Author]],People!A:B,2,0)</f>
        <v>MGF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</vt:i4>
      </vt:variant>
    </vt:vector>
  </HeadingPairs>
  <TitlesOfParts>
    <vt:vector size="20" baseType="lpstr">
      <vt:lpstr>pvt</vt:lpstr>
      <vt:lpstr>STUCT1</vt:lpstr>
      <vt:lpstr>Sheet8</vt:lpstr>
      <vt:lpstr>Sheet7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2025-10-15T13:30:22Z</dcterms:modified>
</cp:coreProperties>
</file>