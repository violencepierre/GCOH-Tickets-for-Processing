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1551AD03-36A2-4ECE-A730-048A4639F6F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vt" sheetId="17" r:id="rId1"/>
    <sheet name="Okey" sheetId="10" r:id="rId2"/>
    <sheet name="STUCT1" sheetId="1" r:id="rId3"/>
    <sheet name="Sheet3" sheetId="30" r:id="rId4"/>
    <sheet name="Sheet2" sheetId="29" r:id="rId5"/>
    <sheet name="Sheet1" sheetId="28" r:id="rId6"/>
    <sheet name="Names" sheetId="5" r:id="rId7"/>
    <sheet name="NEW NODES" sheetId="6" r:id="rId8"/>
    <sheet name="People" sheetId="7" r:id="rId9"/>
    <sheet name="2023" sheetId="8" state="hidden" r:id="rId10"/>
    <sheet name="2024" sheetId="19" state="hidden" r:id="rId11"/>
    <sheet name="old" sheetId="27" state="hidden" r:id="rId12"/>
    <sheet name="Sectors" sheetId="9" r:id="rId13"/>
    <sheet name="KPI" sheetId="12" r:id="rId14"/>
  </sheets>
  <definedNames>
    <definedName name="_xlnm._FilterDatabase" localSheetId="9">'2023'!$A$1:$M$1</definedName>
    <definedName name="_xlnm._FilterDatabase" localSheetId="6">Names!$A$237:$G$388</definedName>
    <definedName name="_xlnm._FilterDatabase" localSheetId="8">People!$A$1:$B$1</definedName>
    <definedName name="_xlnm._FilterDatabase" localSheetId="2">STUCT1!#REF!</definedName>
  </definedNames>
  <calcPr calcId="181029"/>
  <pivotCaches>
    <pivotCache cacheId="7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01" i="1" l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</calcChain>
</file>

<file path=xl/sharedStrings.xml><?xml version="1.0" encoding="utf-8"?>
<sst xmlns="http://schemas.openxmlformats.org/spreadsheetml/2006/main" count="57500" uniqueCount="9721">
  <si>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</si>
  <si>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</si>
  <si>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</si>
  <si>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</si>
  <si>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</si>
  <si>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</si>
  <si>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</si>
  <si>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</si>
  <si>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</si>
  <si>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</si>
  <si>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</si>
  <si>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</si>
  <si>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</si>
  <si>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</si>
  <si>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</si>
  <si>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</si>
  <si>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</si>
  <si>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</si>
  <si>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</si>
  <si>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</si>
  <si>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</si>
  <si>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</si>
  <si>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</si>
  <si>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</si>
  <si>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</si>
  <si>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</si>
  <si>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</si>
  <si>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</si>
  <si>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</si>
  <si>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</si>
  <si>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</si>
  <si>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</si>
  <si>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</si>
  <si>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</si>
  <si>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</si>
  <si>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</si>
  <si>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</si>
  <si>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</si>
  <si>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</si>
  <si>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</si>
  <si>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</si>
  <si>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</si>
  <si>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</si>
  <si>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</si>
  <si>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</si>
  <si>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</si>
  <si>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</si>
  <si>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</si>
  <si>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</si>
  <si>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</si>
  <si>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</si>
  <si>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</si>
  <si>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</si>
  <si>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</si>
  <si>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</si>
  <si>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</si>
  <si>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</si>
  <si>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</si>
  <si>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</si>
  <si>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</si>
  <si>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</si>
  <si>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</si>
  <si>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</si>
  <si>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</si>
  <si>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</si>
  <si>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</si>
  <si>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</si>
  <si>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</si>
  <si>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</si>
  <si>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</si>
  <si>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</si>
  <si>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</si>
  <si>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</si>
  <si>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</si>
  <si>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</si>
  <si>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</si>
  <si>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</si>
  <si>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</si>
  <si>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</si>
  <si>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</si>
  <si>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</si>
  <si>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</si>
  <si>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</si>
  <si>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</si>
  <si>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</si>
  <si>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</si>
  <si>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</si>
  <si>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</si>
  <si>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</si>
  <si>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</si>
  <si>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</si>
  <si>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</si>
  <si>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</si>
  <si>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</si>
  <si>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</si>
  <si>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</si>
  <si>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</si>
  <si>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</si>
  <si>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</si>
  <si>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</si>
  <si>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</si>
  <si>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</si>
  <si>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</si>
  <si>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</si>
  <si>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</si>
  <si>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</si>
  <si>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</si>
  <si>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</si>
  <si>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</si>
  <si>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</si>
  <si>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</si>
  <si>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</si>
  <si>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</si>
  <si>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</si>
  <si>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</si>
  <si>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</si>
  <si>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</si>
  <si>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</si>
  <si>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</si>
  <si>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</si>
  <si>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</si>
  <si>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</si>
  <si>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</si>
  <si>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</si>
  <si>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</si>
  <si>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</si>
  <si>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</si>
  <si>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</si>
  <si>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</si>
  <si>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</si>
  <si>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</si>
  <si>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</si>
  <si>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</si>
  <si>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</si>
  <si>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</si>
  <si>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</si>
  <si>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</si>
  <si>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</si>
  <si>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</si>
  <si>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</si>
  <si>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</si>
  <si>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</si>
  <si>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</si>
  <si>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</si>
  <si>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</si>
  <si>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</si>
  <si>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</si>
  <si>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</si>
  <si>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</si>
  <si>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</si>
  <si>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</si>
  <si>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</si>
  <si>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</si>
  <si>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</si>
  <si>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</si>
  <si>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</si>
  <si>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</si>
  <si>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</si>
  <si>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</si>
  <si>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</si>
  <si>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</si>
  <si>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</si>
  <si>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</si>
  <si>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</si>
  <si>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</si>
  <si>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</si>
  <si>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</si>
  <si>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</si>
  <si>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</si>
  <si>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</si>
  <si>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</si>
  <si>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</si>
  <si>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</si>
  <si>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</si>
  <si>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</si>
  <si>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</si>
  <si>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</si>
  <si>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</si>
  <si>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</si>
  <si>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</si>
  <si>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</si>
  <si>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</si>
  <si>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</si>
  <si>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</si>
  <si>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</si>
  <si>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</si>
  <si>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</si>
  <si>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</si>
  <si>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</si>
  <si>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</si>
  <si>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</si>
  <si>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</si>
  <si>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</si>
  <si>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</si>
  <si>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</si>
  <si>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</si>
  <si>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</si>
  <si>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</si>
  <si>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</si>
  <si>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</si>
  <si>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</si>
  <si>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</si>
  <si>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</si>
  <si>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</si>
  <si>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</si>
  <si>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</si>
  <si>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</si>
  <si>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</si>
  <si>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</si>
  <si>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</si>
  <si>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</si>
  <si>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</si>
  <si>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</si>
  <si>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</si>
  <si>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</si>
  <si>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</si>
  <si>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</si>
  <si>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</si>
  <si>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</si>
  <si>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</si>
  <si>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</si>
  <si>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</si>
  <si>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</si>
  <si>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</si>
  <si>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</si>
  <si>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</si>
  <si>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</si>
  <si>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</si>
  <si>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</si>
  <si>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</si>
  <si>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</si>
  <si>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</si>
  <si>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</si>
  <si>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</si>
  <si>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</si>
  <si>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</si>
  <si>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</si>
  <si>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</si>
  <si>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</si>
  <si>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</si>
  <si>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</si>
  <si>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</si>
  <si>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</si>
  <si>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</si>
  <si>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</si>
  <si>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</si>
  <si>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</si>
  <si>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</si>
  <si>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</si>
  <si>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</si>
  <si>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</si>
  <si>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</si>
  <si>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</si>
  <si>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</si>
  <si>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</si>
  <si>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</si>
  <si>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</si>
  <si>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</si>
  <si>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</si>
  <si>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</si>
  <si>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</si>
  <si>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</si>
  <si>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</si>
  <si>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</si>
  <si>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</si>
  <si>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</si>
  <si>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</si>
  <si>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</si>
  <si>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</si>
  <si>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</si>
  <si>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</si>
  <si>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</si>
  <si>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</si>
  <si>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</si>
  <si>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</si>
  <si>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</si>
  <si>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</si>
  <si>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</si>
  <si>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</si>
  <si>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</si>
  <si>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</si>
  <si>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</si>
  <si>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</si>
  <si>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</si>
  <si>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</si>
  <si>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</si>
  <si>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</si>
  <si>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</si>
  <si>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</si>
  <si>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</si>
  <si>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</si>
  <si>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</si>
  <si>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</si>
  <si>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</si>
  <si>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</si>
  <si>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</si>
  <si>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</si>
  <si>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</si>
  <si>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</si>
  <si>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</si>
  <si>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</si>
  <si>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</si>
  <si>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</si>
  <si>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</si>
  <si>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</si>
  <si>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</si>
  <si>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</si>
  <si>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</si>
  <si>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</si>
  <si>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</si>
  <si>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</si>
  <si>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</si>
  <si>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</si>
  <si>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</si>
  <si>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</si>
  <si>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</si>
  <si>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</si>
  <si>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</si>
  <si>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</si>
  <si>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</si>
  <si>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</si>
  <si>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</si>
  <si>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</si>
  <si>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</si>
  <si>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</si>
  <si>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</si>
  <si>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</si>
  <si>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</si>
  <si>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</si>
  <si>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</si>
  <si>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</si>
  <si>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</si>
  <si>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</si>
  <si>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</si>
  <si>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</si>
  <si>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</si>
  <si>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</si>
  <si>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</si>
  <si>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</si>
  <si>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</si>
  <si>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</si>
  <si>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</si>
  <si>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</si>
  <si>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</si>
  <si>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</si>
  <si>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</si>
  <si>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</si>
  <si>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</si>
  <si>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</si>
  <si>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</si>
  <si>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</si>
  <si>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</si>
  <si>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</si>
  <si>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</si>
  <si>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</si>
  <si>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</si>
  <si>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</si>
  <si>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</si>
  <si>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</si>
  <si>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</si>
  <si>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</si>
  <si>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</si>
  <si>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</si>
  <si>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</si>
  <si>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</si>
  <si>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</si>
  <si>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</si>
  <si>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</si>
  <si>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</si>
  <si>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</si>
  <si>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</si>
  <si>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</si>
  <si>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</si>
  <si>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</si>
  <si>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</si>
  <si>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</si>
  <si>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</si>
  <si>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</si>
  <si>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</si>
  <si>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</si>
  <si>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</si>
  <si>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</si>
  <si>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</si>
  <si>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</si>
  <si>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</si>
  <si>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</si>
  <si>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</si>
  <si>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</si>
  <si>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</si>
  <si>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</si>
  <si>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</si>
  <si>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</si>
  <si>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</si>
  <si>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</si>
  <si>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</si>
  <si>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</si>
  <si>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</si>
  <si>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</si>
  <si>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</si>
  <si>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</si>
  <si>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</si>
  <si>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</si>
  <si>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</si>
  <si>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</si>
  <si>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</si>
  <si>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</si>
  <si>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</si>
  <si>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</si>
  <si>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</si>
  <si>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</si>
  <si>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</si>
  <si>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</si>
  <si>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</si>
  <si>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</si>
  <si>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</si>
  <si>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</si>
  <si>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</si>
  <si>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</si>
  <si>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</si>
  <si>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</si>
  <si>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</si>
  <si>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</si>
  <si>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</si>
  <si>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</si>
  <si>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</si>
  <si>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</si>
  <si>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</si>
  <si>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</si>
  <si>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</si>
  <si>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</si>
  <si>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</si>
  <si>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</si>
  <si>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</si>
  <si>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</si>
  <si>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</si>
  <si>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</si>
  <si>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</si>
  <si>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</si>
  <si>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</si>
  <si>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</si>
  <si>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</si>
  <si>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</si>
  <si>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</si>
  <si>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</si>
  <si>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</si>
  <si>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</si>
  <si>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</si>
  <si>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</si>
  <si>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</si>
  <si>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</si>
  <si>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</si>
  <si>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</si>
  <si>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</si>
  <si>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</si>
  <si>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</si>
  <si>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</si>
  <si>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</si>
  <si>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</si>
  <si>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</si>
  <si>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</si>
  <si>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</si>
  <si>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</si>
  <si>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</si>
  <si>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</si>
  <si>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</si>
  <si>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</si>
  <si>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</si>
  <si>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</si>
  <si>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</si>
  <si>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</si>
  <si>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</si>
  <si>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</si>
  <si>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</si>
  <si>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</si>
  <si>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</si>
  <si>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</si>
  <si>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</si>
  <si>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</si>
  <si>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</si>
  <si>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</si>
  <si>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</si>
  <si>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</si>
  <si>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</si>
  <si>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</si>
  <si>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</si>
  <si>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</si>
  <si>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</si>
  <si>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</si>
  <si>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</si>
  <si>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</si>
  <si>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</si>
  <si>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</si>
  <si>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</si>
  <si>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</si>
  <si>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</si>
  <si>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</si>
  <si>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</si>
  <si>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</si>
  <si>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</si>
  <si>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</si>
  <si>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</si>
  <si>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</si>
  <si>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</si>
  <si>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</si>
  <si>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</si>
  <si>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</si>
  <si>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</si>
  <si>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</si>
  <si>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</si>
  <si>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</si>
  <si>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</si>
  <si>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</si>
  <si>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</si>
  <si>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</si>
  <si>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</si>
  <si>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</si>
  <si>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</si>
  <si>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</si>
  <si>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</si>
  <si>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</si>
  <si>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</si>
  <si>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</si>
  <si>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</si>
  <si>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</si>
  <si>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</si>
  <si>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</si>
  <si>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</si>
  <si>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</si>
  <si>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</si>
  <si>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</si>
  <si>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</si>
  <si>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</si>
  <si>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</si>
  <si>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</si>
  <si>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</si>
  <si>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</si>
  <si>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</si>
  <si>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</si>
  <si>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</si>
  <si>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</si>
  <si>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</si>
  <si>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</si>
  <si>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</si>
  <si>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</si>
  <si>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</si>
  <si>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</si>
  <si>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</si>
  <si>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</si>
  <si>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</si>
  <si>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</si>
  <si>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</si>
  <si>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</si>
  <si>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</si>
  <si>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</si>
  <si>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</si>
  <si>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</si>
  <si>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</si>
  <si>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</si>
  <si>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</si>
  <si>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</si>
  <si>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</si>
  <si>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</si>
  <si>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</si>
  <si>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</si>
  <si>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</si>
  <si>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</si>
  <si>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</si>
  <si>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</si>
  <si>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</si>
  <si>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</si>
  <si>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</si>
  <si>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</si>
  <si>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</si>
  <si>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</si>
  <si>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</si>
  <si>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</si>
  <si>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</si>
  <si>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</si>
  <si>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</si>
  <si>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</si>
  <si>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</si>
  <si>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</si>
  <si>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</si>
  <si>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</si>
  <si>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</si>
  <si>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</si>
  <si>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</si>
  <si>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</si>
  <si>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</si>
  <si>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</si>
  <si>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</si>
  <si>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</si>
  <si>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</si>
  <si>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</si>
  <si>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</si>
  <si>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</si>
  <si>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</si>
  <si>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</si>
  <si>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</si>
  <si>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</si>
  <si>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</si>
  <si>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</si>
  <si>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</si>
  <si>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</si>
  <si>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</si>
  <si>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</si>
  <si>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</si>
  <si>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</si>
  <si>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</si>
  <si>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</si>
  <si>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</si>
  <si>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</si>
  <si>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</si>
  <si>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</si>
  <si>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</si>
  <si>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</si>
  <si>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</si>
  <si>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</si>
  <si>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</si>
  <si>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</si>
  <si>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</si>
  <si>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</si>
  <si>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</si>
  <si>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</si>
  <si>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</si>
  <si>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</si>
  <si>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</si>
  <si>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</si>
  <si>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</si>
  <si>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</si>
  <si>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</si>
  <si>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</si>
  <si>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</si>
  <si>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</si>
  <si>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</si>
  <si>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</si>
  <si>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</si>
  <si>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</si>
  <si>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</si>
  <si>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</si>
  <si>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</si>
  <si>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</si>
  <si>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</si>
  <si>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</si>
  <si>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</si>
  <si>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</si>
  <si>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</si>
  <si>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</si>
  <si>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</si>
  <si>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</si>
  <si>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</si>
  <si>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</si>
  <si>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</si>
  <si>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</si>
  <si>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</si>
  <si>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</si>
  <si>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</si>
  <si>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</si>
  <si>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</si>
  <si>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</si>
  <si>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</si>
  <si>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</si>
  <si>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</si>
  <si>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</si>
  <si>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</si>
  <si>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</si>
  <si>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</si>
  <si>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</si>
  <si>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</si>
  <si>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</si>
  <si>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</si>
  <si>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</si>
  <si>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</si>
  <si>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</si>
  <si>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</si>
  <si>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</si>
  <si>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</si>
  <si>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</si>
  <si>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</si>
  <si>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</si>
  <si>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</si>
  <si>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</si>
  <si>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</si>
  <si>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</si>
  <si>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</si>
  <si>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</si>
  <si>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</si>
  <si>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</si>
  <si>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</si>
  <si>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</si>
  <si>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</si>
  <si>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</si>
  <si>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</si>
  <si>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</si>
  <si>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</si>
  <si>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</si>
  <si>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</si>
  <si>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</si>
  <si>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</si>
  <si>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</si>
  <si>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</si>
  <si>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</si>
  <si>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</si>
  <si>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</si>
  <si>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</si>
  <si>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</si>
  <si>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</si>
  <si>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</si>
  <si>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</si>
  <si>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</si>
  <si>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</si>
  <si>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</si>
  <si>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</si>
  <si>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</si>
  <si>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</si>
  <si>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</si>
  <si>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</si>
  <si>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</si>
  <si>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</si>
  <si>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</si>
  <si>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</si>
  <si>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</si>
  <si>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</si>
  <si>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</si>
  <si>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</si>
  <si>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</si>
  <si>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</si>
  <si>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</si>
  <si>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</si>
  <si>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</si>
  <si>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</si>
  <si>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</si>
  <si>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</si>
  <si>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</si>
  <si>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</si>
  <si>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</si>
  <si>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</si>
  <si>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</si>
  <si>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</si>
  <si>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</si>
  <si>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</si>
  <si>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</si>
  <si>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</si>
  <si>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</si>
  <si>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</si>
  <si>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</si>
  <si>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</si>
  <si>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</si>
  <si>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</si>
  <si>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</si>
  <si>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</si>
  <si>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</si>
  <si>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</si>
  <si>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</si>
  <si>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</si>
  <si>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</si>
  <si>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</si>
  <si>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</si>
  <si>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</si>
  <si>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</si>
  <si>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</si>
  <si>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</si>
  <si>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</si>
  <si>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</si>
  <si>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</si>
  <si>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</si>
  <si>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</si>
  <si>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</si>
  <si>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</si>
  <si>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</si>
  <si>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</si>
  <si>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</si>
  <si>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</si>
  <si>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</si>
  <si>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</si>
  <si>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</si>
  <si>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</si>
  <si>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</si>
  <si>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</si>
  <si>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</si>
  <si>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</si>
  <si>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</si>
  <si>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</si>
  <si>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</si>
  <si>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</si>
  <si>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</si>
  <si>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</si>
  <si>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</si>
  <si>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</si>
  <si>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</si>
  <si>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</si>
  <si>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</si>
  <si>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</si>
  <si>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</si>
  <si>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</si>
  <si>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</si>
  <si>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</si>
  <si>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</si>
  <si>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</si>
  <si>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</si>
  <si>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</si>
  <si>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</si>
  <si>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</si>
  <si>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</si>
  <si>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</si>
  <si>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</si>
  <si>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</si>
  <si>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</si>
  <si>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</si>
  <si>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</si>
  <si>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</si>
  <si>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</si>
  <si>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</si>
  <si>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</si>
  <si>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</si>
  <si>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</si>
  <si>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</si>
  <si>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</si>
  <si>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</si>
  <si>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</si>
  <si>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</si>
  <si>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</si>
  <si>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</si>
  <si>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</si>
  <si>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</si>
  <si>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</si>
  <si>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</si>
  <si>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</si>
  <si>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</si>
  <si>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</si>
  <si>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</si>
  <si>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</si>
  <si>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</si>
  <si>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</si>
  <si>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</si>
  <si>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</si>
  <si>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</si>
  <si>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</si>
  <si>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</si>
  <si>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</si>
  <si>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</si>
  <si>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</si>
  <si>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</si>
  <si>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</si>
  <si>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</si>
  <si>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</si>
  <si>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</si>
  <si>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</si>
  <si>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</si>
  <si>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</si>
  <si>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</si>
  <si>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</si>
  <si>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</si>
  <si>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</si>
  <si>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</si>
  <si>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</si>
  <si>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</si>
  <si>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</si>
  <si>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</si>
  <si>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</si>
  <si>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</si>
  <si>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</si>
  <si>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</si>
  <si>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</si>
  <si>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</si>
  <si>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</si>
  <si>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</si>
  <si>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</si>
  <si>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</si>
  <si>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</si>
  <si>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</si>
  <si>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</si>
  <si>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</si>
  <si>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</si>
  <si>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</si>
  <si>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</si>
  <si>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</si>
  <si>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</si>
  <si>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</si>
  <si>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</si>
  <si>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</si>
  <si>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</si>
  <si>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</si>
  <si>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</si>
  <si>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</si>
  <si>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</si>
  <si>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</si>
  <si>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</si>
  <si>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</si>
  <si>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</si>
  <si>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</si>
  <si>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</si>
  <si>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</si>
  <si>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</si>
  <si>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</si>
  <si>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</si>
  <si>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</si>
  <si>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</si>
  <si>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</si>
  <si>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</si>
  <si>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</si>
  <si>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</si>
  <si>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</si>
  <si>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</si>
  <si>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</si>
  <si>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</si>
  <si>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</si>
  <si>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</si>
  <si>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</si>
  <si>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</si>
  <si>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</si>
  <si>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</si>
  <si>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</si>
  <si>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</si>
  <si>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</si>
  <si>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</si>
  <si>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</si>
  <si>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</si>
  <si>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</si>
  <si>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</si>
  <si>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</si>
  <si>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</si>
  <si>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</si>
  <si>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</si>
  <si>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</si>
  <si>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</si>
  <si>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</si>
  <si>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</si>
  <si>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</si>
  <si>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</si>
  <si>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</si>
  <si>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</si>
  <si>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</si>
  <si>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</si>
  <si>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</si>
  <si>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</si>
  <si>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</si>
  <si>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</si>
  <si>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</si>
  <si>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</si>
  <si>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</si>
  <si>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</si>
  <si>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</si>
  <si>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</si>
  <si>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</si>
  <si>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</si>
  <si>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</si>
  <si>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</si>
  <si>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</si>
  <si>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</si>
  <si>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</si>
  <si>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</si>
  <si>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</si>
  <si>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</si>
  <si>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</si>
  <si>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</si>
  <si>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</si>
  <si>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</si>
  <si>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</si>
  <si>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</si>
  <si>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</si>
  <si>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</si>
  <si>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</si>
  <si>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</si>
  <si>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</si>
  <si>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</si>
  <si>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</si>
  <si>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</si>
  <si>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</si>
  <si>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</si>
  <si>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</si>
  <si>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</si>
  <si>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</si>
  <si>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</si>
  <si>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</si>
  <si>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</si>
  <si>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</si>
  <si>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</si>
  <si>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</si>
  <si>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</si>
  <si>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</si>
  <si>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</si>
  <si>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</si>
  <si>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</si>
  <si>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</si>
  <si>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</si>
  <si>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</si>
  <si>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</si>
  <si>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</si>
  <si>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</si>
  <si>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</si>
  <si>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</si>
  <si>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</si>
  <si>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</si>
  <si>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</si>
  <si>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</si>
  <si>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</si>
  <si>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</si>
  <si>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</si>
  <si>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</si>
  <si>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</si>
  <si>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</si>
  <si>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</si>
  <si>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</si>
  <si>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</si>
  <si>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</si>
  <si>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</si>
  <si>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</si>
  <si>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</si>
  <si>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</si>
  <si>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</si>
  <si>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</si>
  <si>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</si>
  <si>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</si>
  <si>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</si>
  <si>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</si>
  <si>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</si>
  <si>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</si>
  <si>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</si>
  <si>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</si>
  <si>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</si>
  <si>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</si>
  <si>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</si>
  <si>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</si>
  <si>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</si>
  <si>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</si>
  <si>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</si>
  <si>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</si>
  <si>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</si>
  <si>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</si>
  <si>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</si>
  <si>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</si>
  <si>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</si>
  <si>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</si>
  <si>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</si>
  <si>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</si>
  <si>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</si>
  <si>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</si>
  <si>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</si>
  <si>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</si>
  <si>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</si>
  <si>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</si>
  <si>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</si>
  <si>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</si>
  <si>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</si>
  <si>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</si>
  <si>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</si>
  <si>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</si>
  <si>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</si>
  <si>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</si>
  <si>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</si>
  <si>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</si>
  <si>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</si>
  <si>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</si>
  <si>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</si>
  <si>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</si>
  <si>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</si>
  <si>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</si>
  <si>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</si>
  <si>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</si>
  <si>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</si>
  <si>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</si>
  <si>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</si>
  <si>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</si>
  <si>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</si>
  <si>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</si>
  <si>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</si>
  <si>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</si>
  <si>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</si>
  <si>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</si>
  <si>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</si>
  <si>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</si>
  <si>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</si>
  <si>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</si>
  <si>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</si>
  <si>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</si>
  <si>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</si>
  <si>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</si>
  <si>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</si>
  <si>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</si>
  <si>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</si>
  <si>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</si>
  <si>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</si>
  <si>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</si>
  <si>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</si>
  <si>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</si>
  <si>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</si>
  <si>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</si>
  <si>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</si>
  <si>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</si>
  <si>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</si>
  <si>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</si>
  <si>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</si>
  <si>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</si>
  <si>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</si>
  <si>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</si>
  <si>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</si>
  <si>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</si>
  <si>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</si>
  <si>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</si>
  <si>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</si>
  <si>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</si>
  <si>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</si>
  <si>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</si>
  <si>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</si>
  <si>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</si>
  <si>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</si>
  <si>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</si>
  <si>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</si>
  <si>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</si>
  <si>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</si>
  <si>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</si>
  <si>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</si>
  <si>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</si>
  <si>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</si>
  <si>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</si>
  <si>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</si>
  <si>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</si>
  <si>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</si>
  <si>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</si>
  <si>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</si>
  <si>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</si>
  <si>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</si>
  <si>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</si>
  <si>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</si>
  <si>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</si>
  <si>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</si>
  <si>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</si>
  <si>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</si>
  <si>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</si>
  <si>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</si>
  <si>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</si>
  <si>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</si>
  <si>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</si>
  <si>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</si>
  <si>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</si>
  <si>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</si>
  <si>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</si>
  <si>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</si>
  <si>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</si>
  <si>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</si>
  <si>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</si>
  <si>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</si>
  <si>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</si>
  <si>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</si>
  <si>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</si>
  <si>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</si>
  <si>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</si>
  <si>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</si>
  <si>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</si>
  <si>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</si>
  <si>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</si>
  <si>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</si>
  <si>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</si>
  <si>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</si>
  <si>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</si>
  <si>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</si>
  <si>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</si>
  <si>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</si>
  <si>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</si>
  <si>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</si>
  <si>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</si>
  <si>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</si>
  <si>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</si>
  <si>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</si>
  <si>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</si>
  <si>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</si>
  <si>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</si>
  <si>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</si>
  <si>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</si>
  <si>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</si>
  <si>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</si>
  <si>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</si>
  <si>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</si>
  <si>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</si>
  <si>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</si>
  <si>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</si>
  <si>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</si>
  <si>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</si>
  <si>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</si>
  <si>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</si>
  <si>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</si>
  <si>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</si>
  <si>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</si>
  <si>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</si>
  <si>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</si>
  <si>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</si>
  <si>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</si>
  <si>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</si>
  <si>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</si>
  <si>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</si>
  <si>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</si>
  <si>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</si>
  <si>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</si>
  <si>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</si>
  <si>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</si>
  <si>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</si>
  <si>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</si>
  <si>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</si>
  <si>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</si>
  <si>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</si>
  <si>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</si>
  <si>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</si>
  <si>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</si>
  <si>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</si>
  <si>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</si>
  <si>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</si>
  <si>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</si>
  <si>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</si>
  <si>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</si>
  <si>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</si>
  <si>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</si>
  <si>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</si>
  <si>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</si>
  <si>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</si>
  <si>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</si>
  <si>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</si>
  <si>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</si>
  <si>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</si>
  <si>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</si>
  <si>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</si>
  <si>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</si>
  <si>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</si>
  <si>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</si>
  <si>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</si>
  <si>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</si>
  <si>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</si>
  <si>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</si>
  <si>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</si>
  <si>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</si>
  <si>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</si>
  <si>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</si>
  <si>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</si>
  <si>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</si>
  <si>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</si>
  <si>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</si>
  <si>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</si>
  <si>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</si>
  <si>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</si>
  <si>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</si>
  <si>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</si>
  <si>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</si>
  <si>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</si>
  <si>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</si>
  <si>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</si>
  <si>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</si>
  <si>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</si>
  <si>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</si>
  <si>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</si>
  <si>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</si>
  <si>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</si>
  <si>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</si>
  <si>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</si>
  <si>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</si>
  <si>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</si>
  <si>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</si>
  <si>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</si>
  <si>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</si>
  <si>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</si>
  <si>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</si>
  <si>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</si>
  <si>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</si>
  <si>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</si>
  <si>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</si>
  <si>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</si>
  <si>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</si>
  <si>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</si>
  <si>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</si>
  <si>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</si>
  <si>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</si>
  <si>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</si>
  <si>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</si>
  <si>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</si>
  <si>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</si>
  <si>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</si>
  <si>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</si>
  <si>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</si>
  <si>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</si>
  <si>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</si>
  <si>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</si>
  <si>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</si>
  <si>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</si>
  <si>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</si>
  <si>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</si>
  <si>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</si>
  <si>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</si>
  <si>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</si>
  <si>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</si>
  <si>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</si>
  <si>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</si>
  <si>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</si>
  <si>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</si>
  <si>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</si>
  <si>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</si>
  <si>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</si>
  <si>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</si>
  <si>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</si>
  <si>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</si>
  <si>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</si>
  <si>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</si>
  <si>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</si>
  <si>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</si>
  <si>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</si>
  <si>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</si>
  <si>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</si>
  <si>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</si>
  <si>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</si>
  <si>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</si>
  <si>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</si>
  <si>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</si>
  <si>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</si>
  <si>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</si>
  <si>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</si>
  <si>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</si>
  <si>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</si>
  <si>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</si>
  <si>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</si>
  <si>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</si>
  <si>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</si>
  <si>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</si>
  <si>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</si>
  <si>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</si>
  <si>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</si>
  <si>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</si>
  <si>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</si>
  <si>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</si>
  <si>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</si>
  <si>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</si>
  <si>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</si>
  <si>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</si>
  <si>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</si>
  <si>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</si>
  <si>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</si>
  <si>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</si>
  <si>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</si>
  <si>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</si>
  <si>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</si>
  <si>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</si>
  <si>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</si>
  <si>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</si>
  <si>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</si>
  <si>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</si>
  <si>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</si>
  <si>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</si>
  <si>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</si>
  <si>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</si>
  <si>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</si>
  <si>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</si>
  <si>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</si>
  <si>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</si>
  <si>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</si>
  <si>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</si>
  <si>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</si>
  <si>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</si>
  <si>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</si>
  <si>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</si>
  <si>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</si>
  <si>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</si>
  <si>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</si>
  <si>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</si>
  <si>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</si>
  <si>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</si>
  <si>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</si>
  <si>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</si>
  <si>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</si>
  <si>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</si>
  <si>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</si>
  <si>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</si>
  <si>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</si>
  <si>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</si>
  <si>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</si>
  <si>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</si>
  <si>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</si>
  <si>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</si>
  <si>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</si>
  <si>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</si>
  <si>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</si>
  <si>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</si>
  <si>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</si>
  <si>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</si>
  <si>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</si>
  <si>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</si>
  <si>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</si>
  <si>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</si>
  <si>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</si>
  <si>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</si>
  <si>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</si>
  <si>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</si>
  <si>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</si>
  <si>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</si>
  <si>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</si>
  <si>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</si>
  <si>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</si>
  <si>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</si>
  <si>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</si>
  <si>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</si>
  <si>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</si>
  <si>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</si>
  <si>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</si>
  <si>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</si>
  <si>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</si>
  <si>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</si>
  <si>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</si>
  <si>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</si>
  <si>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</si>
  <si>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</si>
  <si>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</si>
  <si>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</si>
  <si>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</si>
  <si>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</si>
  <si>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</si>
  <si>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</si>
  <si>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</si>
  <si>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</si>
  <si>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</si>
  <si>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</si>
  <si>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</si>
  <si>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</si>
  <si>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</si>
  <si>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</si>
  <si>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</si>
  <si>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</si>
  <si>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</si>
  <si>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</si>
  <si>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</si>
  <si>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</si>
  <si>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</si>
  <si>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</si>
  <si>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</si>
  <si>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</si>
  <si>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</si>
  <si>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</si>
  <si>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</si>
  <si>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</si>
  <si>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</si>
  <si>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</si>
  <si>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</si>
  <si>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</si>
  <si>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</si>
  <si>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</si>
  <si>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</si>
  <si>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</si>
  <si>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</si>
  <si>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</si>
  <si>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</si>
  <si>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</si>
  <si>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</si>
  <si>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</si>
  <si>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</si>
  <si>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</si>
  <si>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</si>
  <si>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</si>
  <si>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</si>
  <si>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</si>
  <si>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</si>
  <si>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</si>
  <si>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</si>
  <si>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</si>
  <si>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</si>
  <si>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</si>
  <si>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</si>
  <si>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</si>
  <si>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</si>
  <si>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</si>
  <si>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</si>
  <si>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</si>
  <si>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</si>
  <si>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</si>
  <si>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</si>
  <si>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</si>
  <si>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</si>
  <si>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</si>
  <si>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</si>
  <si>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</si>
  <si>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</si>
  <si>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</si>
  <si>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</si>
  <si>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</si>
  <si>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</si>
  <si>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</si>
  <si>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</si>
  <si>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</si>
  <si>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</si>
  <si>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</si>
  <si>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</si>
  <si>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</si>
  <si>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</si>
  <si>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</si>
  <si>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</si>
  <si>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</si>
  <si>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</si>
  <si>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</si>
  <si>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</si>
  <si>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</si>
  <si>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</si>
  <si>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</si>
  <si>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</si>
  <si>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</si>
  <si>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</si>
  <si>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</si>
  <si>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</si>
  <si>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</si>
  <si>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</si>
  <si>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</si>
  <si>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</si>
  <si>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</si>
  <si>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</si>
  <si>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</si>
  <si>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</si>
  <si>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</si>
  <si>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</si>
  <si>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</si>
  <si>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</si>
  <si>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</si>
  <si>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</si>
  <si>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</si>
  <si>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</si>
  <si>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</si>
  <si>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</si>
  <si>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</si>
  <si>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</si>
  <si>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</si>
  <si>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</si>
  <si>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</si>
  <si>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</si>
  <si>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</si>
  <si>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</si>
  <si>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</si>
  <si>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</si>
  <si>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</si>
  <si>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</si>
  <si>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</si>
  <si>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</si>
  <si>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</si>
  <si>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</si>
  <si>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</si>
  <si>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</si>
  <si>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</si>
  <si>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</si>
  <si>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</si>
  <si>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</si>
  <si>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</si>
  <si>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</si>
  <si>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</si>
  <si>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</si>
  <si>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</si>
  <si>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</si>
  <si>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</si>
  <si>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</si>
  <si>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</si>
  <si>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</si>
  <si>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</si>
  <si>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</si>
  <si>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</si>
  <si>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</si>
  <si>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</si>
  <si>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</si>
  <si>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</si>
  <si>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</si>
  <si>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</si>
  <si>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</si>
  <si>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</si>
  <si>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</si>
  <si>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</si>
  <si>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</si>
  <si>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</si>
  <si>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</si>
  <si>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</si>
  <si>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</si>
  <si>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</si>
  <si>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</si>
  <si>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</si>
  <si>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</si>
  <si>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</si>
  <si>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</si>
  <si>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</si>
  <si>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</si>
  <si>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</si>
  <si>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</si>
  <si>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</si>
  <si>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</si>
  <si>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</si>
  <si>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</si>
  <si>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</si>
  <si>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</si>
  <si>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</si>
  <si>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</si>
  <si>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</si>
  <si>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</si>
  <si>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</si>
  <si>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</si>
  <si>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</si>
  <si>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</si>
  <si>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</si>
  <si>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</si>
  <si>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</si>
  <si>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</si>
  <si>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</si>
  <si>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</si>
  <si>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</si>
  <si>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</si>
  <si>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</si>
  <si>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</si>
  <si>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</si>
  <si>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</si>
  <si>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</si>
  <si>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</si>
  <si>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</si>
  <si>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</si>
  <si>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</si>
  <si>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</si>
  <si>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</si>
  <si>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</si>
  <si>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</si>
  <si>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</si>
  <si>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</si>
  <si>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</si>
  <si>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</si>
  <si>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</si>
  <si>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</si>
  <si>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</si>
  <si>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</si>
  <si>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</si>
  <si>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</si>
  <si>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</si>
  <si>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</si>
  <si>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</si>
  <si>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</si>
  <si>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</si>
  <si>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</si>
  <si>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</si>
  <si>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</si>
  <si>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</si>
  <si>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</si>
  <si>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</si>
  <si>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</si>
  <si>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</si>
  <si>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</si>
  <si>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</si>
  <si>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</si>
  <si>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</si>
  <si>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</si>
  <si>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</si>
  <si>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</si>
  <si>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</si>
  <si>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</si>
  <si>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</si>
  <si>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</si>
  <si>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</si>
  <si>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</si>
  <si>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</si>
  <si>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</si>
  <si>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</si>
  <si>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</si>
  <si>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</si>
  <si>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</si>
  <si>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</si>
  <si>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</si>
  <si>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</si>
  <si>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</si>
  <si>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</si>
  <si>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</si>
  <si>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</si>
  <si>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</si>
  <si>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</si>
  <si>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</si>
  <si>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</si>
  <si>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</si>
  <si>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</si>
  <si>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</si>
  <si>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</si>
  <si>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</si>
  <si>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</si>
  <si>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</si>
  <si>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</si>
  <si>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</si>
  <si>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</si>
  <si>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</si>
  <si>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</si>
  <si>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</si>
  <si>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</si>
  <si>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</si>
  <si>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</si>
  <si>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</si>
  <si>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</si>
  <si>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</si>
  <si>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</si>
  <si>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</si>
  <si>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</si>
  <si>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</si>
  <si>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</si>
  <si>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</si>
  <si>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</si>
  <si>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</si>
  <si>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</si>
  <si>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</si>
  <si>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</si>
  <si>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</si>
  <si>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</si>
  <si>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</si>
  <si>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</si>
  <si>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</si>
  <si>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</si>
  <si>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</si>
  <si>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</si>
  <si>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</si>
  <si>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</si>
  <si>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</si>
  <si>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</si>
  <si>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</si>
  <si>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</si>
  <si>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</si>
  <si>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</si>
  <si>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</si>
  <si>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</si>
  <si>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</si>
  <si>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</si>
  <si>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</si>
  <si>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</si>
  <si>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</si>
  <si>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</si>
  <si>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</si>
  <si>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</si>
  <si>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</si>
  <si>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</si>
  <si>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</si>
  <si>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</si>
  <si>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</si>
  <si>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</si>
  <si>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</si>
  <si>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</si>
  <si>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</si>
  <si>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</si>
  <si>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</si>
  <si>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</si>
  <si>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</si>
  <si>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</si>
  <si>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</si>
  <si>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</si>
  <si>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</si>
  <si>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</si>
  <si>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</si>
  <si>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</si>
  <si>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</si>
  <si>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</si>
  <si>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</si>
  <si>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</si>
  <si>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</si>
  <si>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</si>
  <si>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</si>
  <si>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</si>
  <si>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</si>
  <si>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</si>
  <si>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</si>
  <si>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</si>
  <si>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</si>
  <si>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</si>
  <si>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</si>
  <si>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</si>
  <si>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</si>
  <si>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</si>
  <si>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</si>
  <si>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</si>
  <si>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</si>
  <si>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</si>
  <si>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</si>
  <si>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</si>
  <si>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</si>
  <si>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</si>
  <si>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</si>
  <si>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</si>
  <si>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</si>
  <si>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</si>
  <si>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</si>
  <si>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</si>
  <si>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</si>
  <si>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</si>
  <si>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</si>
  <si>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</si>
  <si>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</si>
  <si>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</si>
  <si>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</si>
  <si>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</si>
  <si>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</si>
  <si>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</si>
  <si>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</si>
  <si>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</si>
  <si>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</si>
  <si>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</si>
  <si>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</si>
  <si>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</si>
  <si>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</si>
  <si>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</si>
  <si>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</si>
  <si>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</si>
  <si>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</si>
  <si>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</si>
  <si>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</si>
  <si>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</si>
  <si>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</si>
  <si>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</si>
  <si>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</si>
  <si>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</si>
  <si>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</si>
  <si>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</si>
  <si>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</si>
  <si>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</si>
  <si>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</si>
  <si>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</si>
  <si>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</si>
  <si>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</si>
  <si>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</si>
  <si>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</si>
  <si>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</si>
  <si>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</si>
  <si>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</si>
  <si>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</si>
  <si>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</si>
  <si>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</si>
  <si>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</si>
  <si>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</si>
  <si>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</si>
  <si>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</si>
  <si>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</si>
  <si>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</si>
  <si>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</si>
  <si>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</si>
  <si>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</si>
  <si>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</si>
  <si>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</si>
  <si>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</si>
  <si>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</si>
  <si>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</si>
  <si>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</si>
  <si>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</si>
  <si>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</si>
  <si>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</si>
  <si>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</si>
  <si>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</si>
  <si>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</si>
  <si>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</si>
  <si>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</si>
  <si>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</si>
  <si>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</si>
  <si>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</si>
  <si>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</si>
  <si>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</si>
  <si>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</si>
  <si>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</si>
  <si>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</si>
  <si>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</si>
  <si>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</si>
  <si>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</si>
  <si>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</si>
  <si>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</si>
  <si>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</si>
  <si>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</si>
  <si>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</si>
  <si>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</si>
  <si>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</si>
  <si>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</si>
  <si>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</si>
  <si>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</si>
  <si>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</si>
  <si>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</si>
  <si>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</si>
  <si>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</si>
  <si>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</si>
  <si>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</si>
  <si>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</si>
  <si>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</si>
  <si>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</si>
  <si>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</si>
  <si>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</si>
  <si>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</si>
  <si>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</si>
  <si>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</si>
  <si>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</si>
  <si>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</si>
  <si>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</si>
  <si>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</si>
  <si>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</si>
  <si>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</si>
  <si>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</si>
  <si>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</si>
  <si>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</si>
  <si>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</si>
  <si>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</si>
  <si>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</si>
  <si>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</si>
  <si>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</si>
  <si>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</si>
  <si>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</si>
  <si>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</si>
  <si>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</si>
  <si>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</si>
  <si>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</si>
  <si>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</si>
  <si>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</si>
  <si>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</si>
  <si>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</si>
  <si>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</si>
  <si>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</si>
  <si>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</si>
  <si>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</si>
  <si>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</si>
  <si>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</si>
  <si>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</si>
  <si>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</si>
  <si>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</si>
  <si>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</si>
  <si>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</si>
  <si>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</si>
  <si>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</si>
  <si>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</si>
  <si>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</si>
  <si>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</si>
  <si>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</si>
  <si>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</si>
  <si>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</si>
  <si>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</si>
  <si>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</si>
  <si>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</si>
  <si>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</si>
  <si>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</si>
  <si>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</si>
  <si>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</si>
  <si>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</si>
  <si>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</si>
  <si>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</si>
  <si>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</si>
  <si>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</si>
  <si>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</si>
  <si>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</si>
  <si>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</si>
  <si>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</si>
  <si>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</si>
  <si>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</si>
  <si>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</si>
  <si>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</si>
  <si>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</si>
  <si>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</si>
  <si>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</si>
  <si>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</si>
  <si>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</si>
  <si>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</si>
  <si>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</si>
  <si>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</si>
  <si>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</si>
  <si>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</si>
  <si>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</si>
  <si>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</si>
  <si>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</si>
  <si>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</si>
  <si>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</si>
  <si>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</si>
  <si>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</si>
  <si>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</si>
  <si>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</si>
  <si>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</si>
  <si>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</si>
  <si>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</si>
  <si>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</si>
  <si>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</si>
  <si>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</si>
  <si>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</si>
  <si>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</si>
  <si>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</si>
  <si>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</si>
  <si>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</si>
  <si>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</si>
  <si>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</si>
  <si>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</si>
  <si>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</si>
  <si>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</si>
  <si>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</si>
  <si>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</si>
  <si>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</si>
  <si>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</si>
  <si>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</si>
  <si>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</si>
  <si>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</si>
  <si>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</si>
  <si>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</si>
  <si>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</si>
  <si>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</si>
  <si>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</si>
  <si>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</si>
  <si>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</si>
  <si>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</si>
  <si>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</si>
  <si>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</si>
  <si>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</si>
  <si>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</si>
  <si>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</si>
  <si>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</si>
  <si>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</si>
  <si>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</si>
  <si>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</si>
  <si>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</si>
  <si>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</si>
  <si>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</si>
  <si>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</si>
  <si>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</si>
  <si>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</si>
  <si>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</si>
  <si>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</si>
  <si>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</si>
  <si>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</si>
  <si>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</si>
  <si>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</si>
  <si>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</si>
  <si>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</si>
  <si>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</si>
  <si>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</si>
  <si>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</si>
  <si>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</si>
  <si>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</si>
  <si>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</si>
  <si>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</si>
  <si>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</si>
  <si>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</si>
  <si>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</si>
  <si>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</si>
  <si>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</si>
  <si>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</si>
  <si>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</si>
  <si>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</si>
  <si>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</si>
  <si>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</si>
  <si>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</si>
  <si>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</si>
  <si>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</si>
  <si>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</si>
  <si>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</si>
  <si>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</si>
  <si>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</si>
  <si>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</si>
  <si>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</si>
  <si>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</si>
  <si>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</si>
  <si>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</si>
  <si>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</si>
  <si>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</si>
  <si>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</si>
  <si>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</si>
  <si>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</si>
  <si>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</si>
  <si>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</si>
  <si>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</si>
  <si>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</si>
  <si>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</si>
  <si>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</si>
  <si>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</si>
  <si>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</si>
  <si>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</si>
  <si>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</si>
  <si>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</si>
  <si>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</si>
  <si>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</si>
  <si>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</si>
  <si>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</si>
  <si>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</si>
  <si>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</si>
  <si>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</si>
  <si>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</si>
  <si>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</si>
  <si>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</si>
  <si>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</si>
  <si>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</si>
  <si>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</si>
  <si>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</si>
  <si>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</si>
  <si>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</si>
  <si>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</si>
  <si>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</si>
  <si>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</si>
  <si>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</si>
  <si>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</si>
  <si>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</si>
  <si>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</si>
  <si>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</si>
  <si>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</si>
  <si>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</si>
  <si>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</si>
  <si>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</si>
  <si>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</si>
  <si>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</si>
  <si>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</si>
  <si>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</si>
  <si>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</si>
  <si>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</si>
  <si>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</si>
  <si>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</si>
  <si>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</si>
  <si>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</si>
  <si>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</si>
  <si>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</si>
  <si>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</si>
  <si>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</si>
  <si>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</si>
  <si>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</si>
  <si>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</si>
  <si>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</si>
  <si>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</si>
  <si>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</si>
  <si>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</si>
  <si>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</si>
  <si>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</si>
  <si>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</si>
  <si>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</si>
  <si>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</si>
  <si>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</si>
  <si>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</si>
  <si>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</si>
  <si>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</si>
  <si>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</si>
  <si>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</si>
  <si>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</si>
  <si>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</si>
  <si>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</si>
  <si>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</si>
  <si>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</si>
  <si>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</si>
  <si>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</si>
  <si>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</si>
  <si>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</si>
  <si>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</si>
  <si>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</si>
  <si>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</si>
  <si>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</si>
  <si>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</si>
  <si>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</si>
  <si>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</si>
  <si>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</si>
  <si>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</si>
  <si>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</si>
  <si>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</si>
  <si>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</si>
  <si>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</si>
  <si>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</si>
  <si>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</si>
  <si>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</si>
  <si>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</si>
  <si>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</si>
  <si>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</si>
  <si>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</si>
  <si>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</si>
  <si>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</si>
  <si>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</si>
  <si>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</si>
  <si>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</si>
  <si>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</si>
  <si>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</si>
  <si>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</si>
  <si>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</si>
  <si>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</si>
  <si>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</si>
  <si>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</si>
  <si>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</si>
  <si>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</si>
  <si>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</si>
  <si>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</si>
  <si>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</si>
  <si>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</si>
  <si>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</si>
  <si>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</si>
  <si>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</si>
  <si>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</si>
  <si>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</si>
  <si>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</si>
  <si>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</si>
  <si>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</si>
  <si>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</si>
  <si>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</si>
  <si>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</si>
  <si>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</si>
  <si>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</si>
  <si>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</si>
  <si>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</si>
  <si>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</si>
  <si>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</si>
  <si>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</si>
  <si>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</si>
  <si>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</si>
  <si>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</si>
  <si>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</si>
  <si>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</si>
  <si>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</si>
  <si>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</si>
  <si>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</si>
  <si>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</si>
  <si>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</si>
  <si>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</si>
  <si>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</si>
  <si>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</si>
  <si>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</si>
  <si>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</si>
  <si>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</si>
  <si>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</si>
  <si>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</si>
  <si>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</si>
  <si>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</si>
  <si>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</si>
  <si>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</si>
  <si>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</si>
  <si>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</si>
  <si>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</si>
  <si>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</si>
  <si>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</si>
  <si>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</si>
  <si>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</si>
  <si>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</si>
  <si>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</si>
  <si>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</si>
  <si>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</si>
  <si>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</si>
  <si>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</si>
  <si>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</si>
  <si>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</si>
  <si>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</si>
  <si>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</si>
  <si>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</si>
  <si>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</si>
  <si>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</si>
  <si>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</si>
  <si>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</si>
  <si>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</si>
  <si>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</si>
  <si>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</si>
  <si>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</si>
  <si>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</si>
  <si>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</si>
  <si>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</si>
  <si>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</si>
  <si>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</si>
  <si>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</si>
  <si>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</si>
  <si>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</si>
  <si>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</si>
  <si>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</si>
  <si>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</si>
  <si>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</si>
  <si>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</si>
  <si>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</si>
  <si>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</si>
  <si>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</si>
  <si>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</si>
  <si>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</si>
  <si>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</si>
  <si>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</si>
  <si>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</si>
  <si>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</si>
  <si>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</si>
  <si>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</si>
  <si>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</si>
  <si>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</si>
  <si>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</si>
  <si>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</si>
  <si>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</si>
  <si>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</si>
  <si>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</si>
  <si>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</si>
  <si>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</si>
  <si>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</si>
  <si>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</si>
  <si>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</si>
  <si>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</si>
  <si>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</si>
  <si>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</si>
  <si>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</si>
  <si>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</si>
  <si>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</si>
  <si>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</si>
  <si>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</si>
  <si>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</si>
  <si>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</si>
  <si>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</si>
  <si>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</si>
  <si>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</si>
  <si>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</si>
  <si>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</si>
  <si>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</si>
  <si>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</si>
  <si>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</si>
  <si>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</si>
  <si>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</si>
  <si>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</si>
  <si>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</si>
  <si>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</si>
  <si>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</si>
  <si>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</si>
  <si>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</si>
  <si>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</si>
  <si>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</si>
  <si>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</si>
  <si>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</si>
  <si>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</si>
  <si>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</si>
  <si>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</si>
  <si>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</si>
  <si>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</si>
  <si>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</si>
  <si>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</si>
  <si>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</si>
  <si>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</si>
  <si>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</si>
  <si>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</si>
  <si>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</si>
  <si>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</si>
  <si>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</si>
  <si>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</si>
  <si>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</si>
  <si>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</si>
  <si>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</si>
  <si>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</si>
  <si>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</si>
  <si>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</si>
  <si>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</si>
  <si>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</si>
  <si>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</si>
  <si>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</si>
  <si>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</si>
  <si>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</si>
  <si>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</si>
  <si>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</si>
  <si>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</si>
  <si>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</si>
  <si>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</si>
  <si>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</si>
  <si>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</si>
  <si>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</si>
  <si>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</si>
  <si>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</si>
  <si>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</si>
  <si>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</si>
  <si>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</si>
  <si>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</si>
  <si>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</si>
  <si>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</si>
  <si>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</si>
  <si>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</si>
  <si>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</si>
  <si>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</si>
  <si>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</si>
  <si>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</si>
  <si>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</si>
  <si>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</si>
  <si>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</si>
  <si>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</si>
  <si>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</si>
  <si>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</si>
  <si>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</si>
  <si>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</si>
  <si>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</si>
  <si>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</si>
  <si>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</si>
  <si>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</si>
  <si>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</si>
  <si>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</si>
  <si>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</si>
  <si>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</si>
  <si>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</si>
  <si>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</si>
  <si>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</si>
  <si>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</si>
  <si>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</si>
  <si>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</si>
  <si>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</si>
  <si>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</si>
  <si>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</si>
  <si>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</si>
  <si>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</si>
  <si>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</si>
  <si>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</si>
  <si>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</si>
  <si>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</si>
  <si>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</si>
  <si>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</si>
  <si>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</si>
  <si>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</si>
  <si>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</si>
  <si>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</si>
  <si>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</si>
  <si>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</si>
  <si>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</si>
  <si>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</si>
  <si>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</si>
  <si>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</si>
  <si>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</si>
  <si>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</si>
  <si>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</si>
  <si>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</si>
  <si>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</si>
  <si>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</si>
  <si>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</si>
  <si>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</si>
  <si>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</si>
  <si>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</si>
  <si>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</si>
  <si>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</si>
  <si>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</si>
  <si>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</si>
  <si>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</si>
  <si>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</si>
  <si>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</si>
  <si>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</si>
  <si>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</si>
  <si>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</si>
  <si>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</si>
  <si>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</si>
  <si>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</si>
  <si>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</si>
  <si>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</si>
  <si>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</si>
  <si>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</si>
  <si>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</si>
  <si>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</si>
  <si>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</si>
  <si>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</si>
  <si>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</si>
  <si>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</si>
  <si>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</si>
  <si>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</si>
  <si>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</si>
  <si>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</si>
  <si>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</si>
  <si>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</si>
  <si>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</si>
  <si>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</si>
  <si>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</si>
  <si>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</si>
  <si>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</si>
  <si>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</si>
  <si>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</si>
  <si>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</si>
  <si>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</si>
  <si>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</si>
  <si>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</si>
  <si>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</si>
  <si>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</si>
  <si>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</si>
  <si>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</si>
  <si>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</si>
  <si>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</si>
  <si>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</si>
  <si>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</si>
  <si>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</si>
  <si>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</si>
  <si>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</si>
  <si>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</si>
  <si>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</si>
  <si>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</si>
  <si>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</si>
  <si>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</si>
  <si>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</si>
  <si>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</si>
  <si>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</si>
  <si>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</si>
  <si>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</si>
  <si>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</si>
  <si>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</si>
  <si>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</si>
  <si>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</si>
  <si>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</si>
  <si>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</si>
  <si>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</si>
  <si>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</si>
  <si>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</si>
  <si>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</si>
  <si>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</si>
  <si>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</si>
  <si>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</si>
  <si>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</si>
  <si>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</si>
  <si>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</si>
  <si>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</si>
  <si>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</si>
  <si>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</si>
  <si>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</si>
  <si>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</si>
  <si>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</si>
  <si>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</si>
  <si>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</si>
  <si>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</si>
  <si>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</si>
  <si>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</si>
  <si>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</si>
  <si>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</si>
  <si>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</si>
  <si>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</si>
  <si>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</si>
  <si>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</si>
  <si>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</si>
  <si>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</si>
  <si>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</si>
  <si>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</si>
  <si>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</si>
  <si>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</si>
  <si>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</si>
  <si>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</si>
  <si>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</si>
  <si>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</si>
  <si>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</si>
  <si>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</si>
  <si>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</si>
  <si>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</si>
  <si>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</si>
  <si>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</si>
  <si>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</si>
  <si>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</si>
  <si>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</si>
  <si>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</si>
  <si>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</si>
  <si>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</si>
  <si>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</si>
  <si>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</si>
  <si>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</si>
  <si>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</si>
  <si>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</si>
  <si>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</si>
  <si>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</si>
  <si>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</si>
  <si>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</si>
  <si>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</si>
  <si>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</si>
  <si>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</si>
  <si>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</si>
  <si>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</si>
  <si>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</si>
  <si>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</si>
  <si>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</si>
  <si>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</si>
  <si>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</si>
  <si>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</si>
  <si>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</si>
  <si>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</si>
  <si>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</si>
  <si>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</si>
  <si>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</si>
  <si>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</si>
  <si>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</si>
  <si>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</si>
  <si>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</si>
  <si>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</si>
  <si>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</si>
  <si>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</si>
  <si>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</si>
  <si>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</si>
  <si>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</si>
  <si>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</si>
  <si>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</si>
  <si>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</si>
  <si>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</si>
  <si>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</si>
  <si>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</si>
  <si>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</si>
  <si>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</si>
  <si>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</si>
  <si>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</si>
  <si>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</si>
  <si>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</si>
  <si>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</si>
  <si>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</si>
  <si>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</si>
  <si>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</si>
  <si>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</si>
  <si>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</si>
  <si>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</si>
  <si>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</si>
  <si>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</si>
  <si>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</si>
  <si>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</si>
  <si>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</si>
  <si>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</si>
  <si>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</si>
  <si>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</si>
  <si>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</si>
  <si>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</si>
  <si>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</si>
  <si>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</si>
  <si>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</si>
  <si>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</si>
  <si>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</si>
  <si>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</si>
  <si>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</si>
  <si>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</si>
  <si>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</si>
  <si>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</si>
  <si>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</si>
  <si>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</si>
  <si>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</si>
  <si>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</si>
  <si>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</si>
  <si>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</si>
  <si>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</si>
  <si>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</si>
  <si>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</si>
  <si>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</si>
  <si>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</si>
  <si>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</si>
  <si>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</si>
  <si>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</si>
  <si>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</si>
  <si>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</si>
  <si>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</si>
  <si>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</si>
  <si>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</si>
  <si>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</si>
  <si>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</si>
  <si>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</si>
  <si>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</si>
  <si>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</si>
  <si>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</si>
  <si>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</si>
  <si>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</si>
  <si>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</si>
  <si>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</si>
  <si>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</si>
  <si>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</si>
  <si>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</si>
  <si>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</si>
  <si>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</si>
  <si>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</si>
  <si>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</si>
  <si>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</si>
  <si>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</si>
  <si>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</si>
  <si>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</si>
  <si>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</si>
  <si>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</si>
  <si>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</si>
  <si>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</si>
  <si>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</si>
  <si>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</si>
  <si>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</si>
  <si>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</si>
  <si>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</si>
  <si>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</si>
  <si>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</si>
  <si>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</si>
  <si>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</si>
  <si>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</si>
  <si>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</si>
  <si>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</si>
  <si>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</si>
  <si>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</si>
  <si>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</si>
  <si>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</si>
  <si>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</si>
  <si>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</si>
  <si>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</si>
  <si>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</si>
  <si>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</si>
  <si>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</si>
  <si>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</si>
  <si>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</si>
  <si>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</si>
  <si>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</si>
  <si>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</si>
  <si>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</si>
  <si>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</si>
  <si>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</si>
  <si>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</si>
  <si>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</si>
  <si>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</si>
  <si>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</si>
  <si>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</si>
  <si>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</si>
  <si>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</si>
  <si>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</si>
  <si>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</si>
  <si>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</si>
  <si>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</si>
  <si>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</si>
  <si>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</si>
  <si>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</si>
  <si>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</si>
  <si>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</si>
  <si>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</si>
  <si>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</si>
  <si>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</si>
  <si>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</si>
  <si>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</si>
  <si>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</si>
  <si>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</si>
  <si>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</si>
  <si>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</si>
  <si>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</si>
  <si>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</si>
  <si>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</si>
  <si>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</si>
  <si>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</si>
  <si>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</si>
  <si>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</si>
  <si>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</si>
  <si>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</si>
  <si>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</si>
  <si>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</si>
  <si>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</si>
  <si>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</si>
  <si>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</si>
  <si>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</si>
  <si>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</si>
  <si>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</si>
  <si>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</si>
  <si>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</si>
  <si>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</si>
  <si>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</si>
  <si>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</si>
  <si>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</si>
  <si>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</si>
  <si>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</si>
  <si>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</si>
  <si>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</si>
  <si>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</si>
  <si>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</si>
  <si>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</si>
  <si>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</si>
  <si>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</si>
  <si>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</si>
  <si>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</si>
  <si>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</si>
  <si>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</si>
  <si>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</si>
  <si>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</si>
  <si>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</si>
  <si>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</si>
  <si>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</si>
  <si>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</si>
  <si>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</si>
  <si>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</si>
  <si>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</si>
  <si>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</si>
  <si>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</si>
  <si>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</si>
  <si>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</si>
  <si>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</si>
  <si>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</si>
  <si>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</si>
  <si>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</si>
  <si>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</si>
  <si>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</si>
  <si>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</si>
  <si>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</si>
  <si>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</si>
  <si>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</si>
  <si>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</si>
  <si>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</si>
  <si>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</si>
  <si>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</si>
  <si>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</si>
  <si>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</si>
  <si>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</si>
  <si>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</si>
  <si>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</si>
  <si>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</si>
  <si>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</si>
  <si>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</si>
  <si>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</si>
  <si>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</si>
  <si>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</si>
  <si>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</si>
  <si>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</si>
  <si>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</si>
  <si>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</si>
  <si>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</si>
  <si>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</si>
  <si>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</si>
  <si>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</si>
  <si>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</si>
  <si>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</si>
  <si>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</si>
  <si>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</si>
  <si>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</si>
  <si>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</si>
  <si>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</si>
  <si>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</si>
  <si>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</si>
  <si>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</si>
  <si>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</si>
  <si>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</si>
  <si>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</si>
  <si>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</si>
  <si>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</si>
  <si>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</si>
  <si>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</si>
  <si>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</si>
  <si>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</si>
  <si>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</si>
  <si>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</si>
  <si>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</si>
  <si>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</si>
  <si>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</si>
  <si>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</si>
  <si>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</si>
  <si>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</si>
  <si>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</si>
  <si>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</si>
  <si>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</si>
  <si>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</si>
  <si>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</si>
  <si>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</si>
  <si>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</si>
  <si>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</si>
  <si>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</si>
  <si>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</si>
  <si>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</si>
  <si>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</si>
  <si>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</si>
  <si>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</si>
  <si>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</si>
  <si>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</si>
  <si>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</si>
  <si>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</si>
  <si>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</si>
  <si>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</si>
  <si>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</si>
  <si>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</si>
  <si>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</si>
  <si>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</si>
  <si>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</si>
  <si>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</si>
  <si>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</si>
  <si>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</si>
  <si>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</si>
  <si>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</si>
  <si>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</si>
  <si>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</si>
  <si>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</si>
  <si>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</si>
  <si>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</si>
  <si>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</si>
  <si>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</si>
  <si>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</si>
  <si>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</si>
  <si>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</si>
  <si>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</si>
  <si>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</si>
  <si>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</si>
  <si>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</si>
  <si>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</si>
  <si>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</si>
  <si>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</si>
  <si>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</si>
  <si>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</si>
  <si>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</si>
  <si>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</si>
  <si>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</si>
  <si>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</si>
  <si>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</si>
  <si>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</si>
  <si>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</si>
  <si>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</si>
  <si>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</si>
  <si>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</si>
  <si>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</si>
  <si>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</si>
  <si>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</si>
  <si>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</si>
  <si>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</si>
  <si>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</si>
  <si>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</si>
  <si>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</si>
  <si>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</si>
  <si>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</si>
  <si>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</si>
  <si>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</si>
  <si>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</si>
  <si>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</si>
  <si>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</si>
  <si>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</si>
  <si>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</si>
  <si>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</si>
  <si>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</si>
  <si>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</si>
  <si>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</si>
  <si>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</si>
  <si>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</si>
  <si>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</si>
  <si>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</si>
  <si>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</si>
  <si>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</si>
  <si>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</si>
  <si>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</si>
  <si>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</si>
  <si>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</si>
  <si>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</si>
  <si>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</si>
  <si>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</si>
  <si>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</si>
  <si>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</si>
  <si>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</si>
  <si>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</si>
  <si>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</si>
  <si>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</si>
  <si>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</si>
  <si>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</si>
  <si>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</si>
  <si>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</si>
  <si>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</si>
  <si>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</si>
  <si>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</si>
  <si>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</si>
  <si>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</si>
  <si>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</si>
  <si>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</si>
  <si>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</si>
  <si>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</si>
  <si>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</si>
  <si>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</si>
  <si>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</si>
  <si>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</si>
  <si>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</si>
  <si>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</si>
  <si>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</si>
  <si>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</si>
  <si>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</si>
  <si>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</si>
  <si>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</si>
  <si>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</si>
  <si>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</si>
  <si>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</si>
  <si>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</si>
  <si>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</si>
  <si>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</si>
  <si>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</si>
  <si>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</si>
  <si>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</si>
  <si>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</si>
  <si>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</si>
  <si>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</si>
  <si>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</si>
  <si>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</si>
  <si>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</si>
  <si>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</si>
  <si>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</si>
  <si>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</si>
  <si>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</si>
  <si>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</si>
  <si>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</si>
  <si>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</si>
  <si>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</si>
  <si>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</si>
  <si>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</si>
  <si>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</si>
  <si>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</si>
  <si>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</si>
  <si>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</si>
  <si>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</si>
  <si>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</si>
  <si>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</si>
  <si>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</si>
  <si>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</si>
  <si>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</si>
  <si>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</si>
  <si>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</si>
  <si>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</si>
  <si>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</si>
  <si>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</si>
  <si>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</si>
  <si>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</si>
  <si>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</si>
  <si>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</si>
  <si>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</si>
  <si>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</si>
  <si>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</si>
  <si>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</si>
  <si>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</si>
  <si>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</si>
  <si>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</si>
  <si>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</si>
  <si>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</si>
  <si>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</si>
  <si>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</si>
  <si>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</si>
  <si>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</si>
  <si>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</si>
  <si>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</si>
  <si>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</si>
  <si>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</si>
  <si>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</si>
  <si>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</si>
  <si>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</si>
  <si>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</si>
  <si>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</si>
  <si>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</si>
  <si>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</si>
  <si>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</si>
  <si>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</si>
  <si>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</si>
  <si>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</si>
  <si>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</si>
  <si>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</si>
  <si>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</si>
  <si>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</si>
  <si>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</si>
  <si>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</si>
  <si>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</si>
  <si>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</si>
  <si>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</si>
  <si>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</si>
  <si>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</si>
  <si>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</si>
  <si>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</si>
  <si>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</si>
  <si>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</si>
  <si>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</si>
  <si>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</si>
  <si>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</si>
  <si>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</si>
  <si>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</si>
  <si>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</si>
  <si>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</si>
  <si>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</si>
  <si>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</si>
  <si>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</si>
  <si>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</si>
  <si>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</si>
  <si>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</si>
  <si>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</si>
  <si>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</si>
  <si>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</si>
  <si>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</si>
  <si>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</si>
  <si>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</si>
  <si>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</si>
  <si>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</si>
  <si>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</si>
  <si>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</si>
  <si>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</si>
  <si>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</si>
  <si>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</si>
  <si>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</si>
  <si>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</si>
  <si>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</si>
  <si>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</si>
  <si>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</si>
  <si>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</si>
  <si>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</si>
  <si>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</si>
  <si>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</si>
  <si>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</si>
  <si>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</si>
  <si>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</si>
  <si>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</si>
  <si>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</si>
  <si>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</si>
  <si>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</si>
  <si>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</si>
  <si>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</si>
  <si>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</si>
  <si>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</si>
  <si>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</si>
  <si>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</si>
  <si>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</si>
  <si>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</si>
  <si>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</si>
  <si>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</si>
  <si>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</si>
  <si>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</si>
  <si>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</si>
  <si>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</si>
  <si>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</si>
  <si>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</si>
  <si>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</si>
  <si>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</si>
  <si>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</si>
  <si>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</si>
  <si>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</si>
  <si>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</si>
  <si>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</si>
  <si>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</si>
  <si>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</si>
  <si>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</si>
  <si>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</si>
  <si>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</si>
  <si>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</si>
  <si>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</si>
  <si>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</si>
  <si>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</si>
  <si>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</si>
  <si>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</si>
  <si>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</si>
  <si>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</si>
  <si>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</si>
  <si>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</si>
  <si>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</si>
  <si>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</si>
  <si>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</si>
  <si>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</si>
  <si>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</si>
  <si>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</si>
  <si>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</si>
  <si>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</si>
  <si>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</si>
  <si>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</si>
  <si>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</si>
  <si>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</si>
  <si>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</si>
  <si>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</si>
  <si>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</si>
  <si>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</si>
  <si>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</si>
  <si>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</si>
  <si>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</si>
  <si>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</si>
  <si>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</si>
  <si>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</si>
  <si>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</si>
  <si>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</si>
  <si>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</si>
  <si>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</si>
  <si>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</si>
  <si>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</si>
  <si>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</si>
  <si>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</si>
  <si>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</si>
  <si>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</si>
  <si>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</si>
  <si>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</si>
  <si>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</si>
  <si>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</si>
  <si>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</si>
  <si>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</si>
  <si>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</si>
  <si>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</si>
  <si>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</si>
  <si>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</si>
  <si>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</si>
  <si>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</si>
  <si>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</si>
  <si>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</si>
  <si>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</si>
  <si>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</si>
  <si>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</si>
  <si>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</si>
  <si>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</si>
  <si>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</si>
  <si>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</si>
  <si>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</si>
  <si>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</si>
  <si>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</si>
  <si>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</si>
  <si>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</si>
  <si>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</si>
  <si>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</si>
  <si>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</si>
  <si>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</si>
  <si>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</si>
  <si>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</si>
  <si>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</si>
  <si>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</si>
  <si>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</si>
  <si>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</si>
  <si>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</si>
  <si>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</si>
  <si>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</si>
  <si>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</si>
  <si>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</si>
  <si>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</si>
  <si>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</si>
  <si>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</si>
  <si>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</si>
  <si>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</si>
  <si>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</si>
  <si>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</si>
  <si>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</si>
  <si>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</si>
  <si>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</si>
  <si>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</si>
  <si>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</si>
  <si>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</si>
  <si>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</si>
  <si>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</si>
  <si>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</si>
  <si>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</si>
  <si>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</si>
  <si>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</si>
  <si>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</si>
  <si>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</si>
  <si>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</si>
  <si>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</si>
  <si>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</si>
  <si>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</si>
  <si>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</si>
  <si>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</si>
  <si>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</si>
  <si>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</si>
  <si>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</si>
  <si>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</si>
  <si>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</si>
  <si>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</si>
  <si>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</si>
  <si>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</si>
  <si>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</si>
  <si>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</si>
  <si>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</si>
  <si>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</si>
  <si>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</si>
  <si>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</si>
  <si>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</si>
  <si>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</si>
  <si>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</si>
  <si>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</si>
  <si>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</si>
  <si>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</si>
  <si>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</si>
  <si>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</si>
  <si>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</si>
  <si>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</si>
  <si>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</si>
  <si>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</si>
  <si>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</si>
  <si>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</si>
  <si>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</si>
  <si>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</si>
  <si>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</si>
  <si>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</si>
  <si>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</si>
  <si>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</si>
  <si>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</si>
  <si>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</si>
  <si>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</si>
  <si>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</si>
  <si>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</si>
  <si>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</si>
  <si>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</si>
  <si>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</si>
  <si>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</si>
  <si>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</si>
  <si>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</si>
  <si>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</si>
  <si>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</si>
  <si>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</si>
  <si>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</si>
  <si>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</si>
  <si>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</si>
  <si>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</si>
  <si>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</si>
  <si>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</si>
  <si>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</si>
  <si>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</si>
  <si>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</si>
  <si>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</si>
  <si>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</si>
  <si>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</si>
  <si>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</si>
  <si>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</si>
  <si>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</si>
  <si>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</si>
  <si>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</si>
  <si>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</si>
  <si>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</si>
  <si>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</si>
  <si>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</si>
  <si>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</si>
  <si>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</si>
  <si>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</si>
  <si>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</si>
  <si>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</si>
  <si>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</si>
  <si>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</si>
  <si>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</si>
  <si>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</si>
  <si>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</si>
  <si>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</si>
  <si>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</si>
  <si>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</si>
  <si>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</si>
  <si>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</si>
  <si>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</si>
  <si>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</si>
  <si>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</si>
  <si>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</si>
  <si>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</si>
  <si>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</si>
  <si>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</si>
  <si>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</si>
  <si>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</si>
  <si>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</si>
  <si>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</si>
  <si>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</si>
  <si>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</si>
  <si>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</si>
  <si>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</si>
  <si>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</si>
  <si>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</si>
  <si>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</si>
  <si>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</si>
  <si>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</si>
  <si>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</si>
  <si>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</si>
  <si>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</si>
  <si>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</si>
  <si>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</si>
  <si>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</si>
  <si>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</si>
  <si>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</si>
  <si>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</si>
  <si>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</si>
  <si>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</si>
  <si>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</si>
  <si>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</si>
  <si>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</si>
  <si>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</si>
  <si>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</si>
  <si>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</si>
  <si>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</si>
  <si>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</si>
  <si>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</si>
  <si>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</si>
  <si>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</si>
  <si>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</si>
  <si>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</si>
  <si>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</si>
  <si>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</si>
  <si>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</si>
  <si>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</si>
  <si>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</si>
  <si>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</si>
  <si>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</si>
  <si>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</si>
  <si>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</si>
  <si>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</si>
  <si>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</si>
  <si>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</si>
  <si>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</si>
  <si>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</si>
  <si>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</si>
  <si>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</si>
  <si>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</si>
  <si>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</si>
  <si>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</si>
  <si>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</si>
  <si>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</si>
  <si>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</si>
  <si>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</si>
  <si>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</si>
  <si>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</si>
  <si>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</si>
  <si>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</si>
  <si>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</si>
  <si>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</si>
  <si>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</si>
  <si>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</si>
  <si>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</si>
  <si>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</si>
  <si>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</si>
  <si>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</si>
  <si>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</si>
  <si>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</si>
  <si>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</si>
  <si>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</si>
  <si>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</si>
  <si>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</si>
  <si>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</si>
  <si>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</si>
  <si>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</si>
  <si>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</si>
  <si>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</si>
  <si>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</si>
  <si>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</si>
  <si>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</si>
  <si>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</si>
  <si>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</si>
  <si>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</si>
  <si>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</si>
  <si>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</si>
  <si>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</si>
  <si>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</si>
  <si>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</si>
  <si>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</si>
  <si>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</si>
  <si>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</si>
  <si>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</si>
  <si>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</si>
  <si>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</si>
  <si>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</si>
  <si>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</si>
  <si>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</si>
  <si>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</si>
  <si>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</si>
  <si>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</si>
  <si>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</si>
  <si>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</si>
  <si>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</si>
  <si>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</si>
  <si>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</si>
  <si>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</si>
  <si>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</si>
  <si>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</si>
  <si>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</si>
  <si>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</si>
  <si>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</si>
  <si>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</si>
  <si>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</si>
  <si>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</si>
  <si>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</si>
  <si>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</si>
  <si>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</si>
  <si>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</si>
  <si>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</si>
  <si>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</si>
  <si>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</si>
  <si>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</si>
  <si>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</si>
  <si>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</si>
  <si>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</si>
  <si>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</si>
  <si>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</si>
  <si>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</si>
  <si>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</si>
  <si>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</si>
  <si>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</si>
  <si>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</si>
  <si>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</si>
  <si>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</si>
  <si>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</si>
  <si>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</si>
  <si>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</si>
  <si>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</si>
  <si>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</si>
  <si>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</si>
  <si>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</si>
  <si>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</si>
  <si>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</si>
  <si>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</si>
  <si>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</si>
  <si>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</si>
  <si>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</si>
  <si>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</si>
  <si>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</si>
  <si>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</si>
  <si>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</si>
  <si>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</si>
  <si>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</si>
  <si>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</si>
  <si>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</si>
  <si>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</si>
  <si>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</si>
  <si>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</si>
  <si>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</si>
  <si>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</si>
  <si>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</si>
  <si>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</si>
  <si>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</si>
  <si>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</si>
  <si>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</si>
  <si>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</si>
  <si>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</si>
  <si>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</si>
  <si>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</si>
  <si>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</si>
  <si>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</si>
  <si>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</si>
  <si>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</si>
  <si>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</si>
  <si>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</si>
  <si>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</si>
  <si>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</si>
  <si>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</si>
  <si>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</si>
  <si>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</si>
  <si>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</si>
  <si>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</si>
  <si>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</si>
  <si>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</si>
  <si>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</si>
  <si>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</si>
  <si>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</si>
  <si>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</si>
  <si>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</si>
  <si>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</si>
  <si>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</si>
  <si>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</si>
  <si>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</si>
  <si>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</si>
  <si>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</si>
  <si>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</si>
  <si>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</si>
  <si>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</si>
  <si>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</si>
  <si>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</si>
  <si>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</si>
  <si>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</si>
  <si>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</si>
  <si>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</si>
  <si>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</si>
  <si>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</si>
  <si>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</si>
  <si>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</si>
  <si>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</si>
  <si>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</si>
  <si>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</si>
  <si>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</si>
  <si>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</si>
  <si>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</si>
  <si>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</si>
  <si>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</si>
  <si>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</si>
  <si>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</si>
  <si>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</si>
  <si>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</si>
  <si>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</si>
  <si>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</si>
  <si>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</si>
  <si>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</si>
  <si>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</si>
  <si>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</si>
  <si>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</si>
  <si>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</si>
  <si>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</si>
  <si>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</si>
  <si>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</si>
  <si>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</si>
  <si>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</si>
  <si>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</si>
  <si>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</si>
  <si>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</si>
  <si>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</si>
  <si>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</si>
  <si>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</si>
  <si>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</si>
  <si>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</si>
  <si>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</si>
  <si>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</si>
  <si>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</si>
  <si>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</si>
  <si>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</si>
  <si>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</si>
  <si>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</si>
  <si>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</si>
  <si>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</si>
  <si>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</si>
  <si>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</si>
  <si>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</si>
  <si>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</si>
  <si>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</si>
  <si>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</si>
  <si>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</si>
  <si>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</si>
  <si>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</si>
  <si>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</si>
  <si>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</si>
  <si>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</si>
  <si>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</si>
  <si>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</si>
  <si>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</si>
  <si>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</si>
  <si>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</si>
  <si>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</si>
  <si>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</si>
  <si>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</si>
  <si>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</si>
  <si>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</si>
  <si>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</si>
  <si>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</si>
  <si>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</si>
  <si>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</si>
  <si>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</si>
  <si>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</si>
  <si>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</si>
  <si>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</si>
  <si>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</si>
  <si>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</si>
  <si>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</si>
  <si>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</si>
  <si>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</si>
  <si>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</si>
  <si>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</si>
  <si>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</si>
  <si>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</si>
  <si>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</si>
  <si>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</si>
  <si>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</si>
  <si>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</si>
  <si>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</si>
  <si>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</si>
  <si>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</si>
  <si>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</si>
  <si>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</si>
  <si>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</si>
  <si>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</si>
  <si>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</si>
  <si>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</si>
  <si>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</si>
  <si>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</si>
  <si>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</si>
  <si>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</si>
  <si>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</si>
  <si>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</si>
  <si>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</si>
  <si>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</si>
  <si>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</si>
  <si>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</si>
  <si>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</si>
  <si>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</si>
  <si>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</si>
  <si>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</si>
  <si>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</si>
  <si>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</si>
  <si>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</si>
  <si>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</si>
  <si>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</si>
  <si>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</si>
  <si>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</si>
  <si>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</si>
  <si>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</si>
  <si>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</si>
  <si>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</si>
  <si>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</si>
  <si>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</si>
  <si>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</si>
  <si>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</si>
  <si>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</si>
  <si>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</si>
  <si>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</si>
  <si>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</si>
  <si>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</si>
  <si>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</si>
  <si>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</si>
  <si>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</si>
  <si>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</si>
  <si>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</si>
  <si>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</si>
  <si>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</si>
  <si>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</si>
  <si>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</si>
  <si>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</si>
  <si>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</si>
  <si>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</si>
  <si>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</si>
  <si>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</si>
  <si>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</si>
  <si>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</si>
  <si>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</si>
  <si>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</si>
  <si>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</si>
  <si>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</si>
  <si>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</si>
  <si>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</si>
  <si>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</si>
  <si>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</si>
  <si>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</si>
  <si>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</si>
  <si>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</si>
  <si>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</si>
  <si>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</si>
  <si>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</si>
  <si>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</si>
  <si>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</si>
  <si>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</si>
  <si>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</si>
  <si>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</si>
  <si>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</si>
  <si>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</si>
  <si>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</si>
  <si>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</si>
  <si>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</si>
  <si>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</si>
  <si>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</si>
  <si>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</si>
  <si>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</si>
  <si>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</si>
  <si>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</si>
  <si>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</si>
  <si>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</si>
  <si>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</si>
  <si>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</si>
  <si>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</si>
  <si>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</si>
  <si>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</si>
  <si>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</si>
  <si>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</si>
  <si>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</si>
  <si>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</si>
  <si>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</si>
  <si>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</si>
  <si>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</si>
  <si>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</si>
  <si>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</si>
  <si>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</si>
  <si>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</si>
  <si>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</si>
  <si>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</si>
  <si>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</si>
  <si>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</si>
  <si>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</si>
  <si>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</si>
  <si>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</si>
  <si>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</si>
  <si>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</si>
  <si>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</si>
  <si>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</si>
  <si>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</si>
  <si>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</si>
  <si>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</si>
  <si>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</si>
  <si>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</si>
  <si>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</si>
  <si>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</si>
  <si>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</si>
  <si>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</si>
  <si>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</si>
  <si>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</si>
  <si>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</si>
  <si>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</si>
  <si>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</si>
  <si>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</si>
  <si>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</si>
  <si>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</si>
  <si>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</si>
  <si>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</si>
  <si>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</si>
  <si>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</si>
  <si>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</si>
  <si>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</si>
  <si>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</si>
  <si>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</si>
  <si>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</si>
  <si>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</si>
  <si>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</si>
  <si>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</si>
  <si>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</si>
  <si>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</si>
  <si>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</si>
  <si>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</si>
  <si>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</si>
  <si>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</si>
  <si>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</si>
  <si>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</si>
  <si>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</si>
  <si>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</si>
  <si>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</si>
  <si>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</si>
  <si>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</si>
  <si>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</si>
  <si>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</si>
  <si>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</si>
  <si>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</si>
  <si>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</si>
  <si>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</si>
  <si>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</si>
  <si>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</si>
  <si>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</si>
  <si>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</si>
  <si>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</si>
  <si>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</si>
  <si>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</si>
  <si>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</si>
  <si>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</si>
  <si>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</si>
  <si>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</si>
  <si>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</si>
  <si>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</si>
  <si>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</si>
  <si>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</si>
  <si>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</si>
  <si>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</si>
  <si>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</si>
  <si>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</si>
  <si>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</si>
  <si>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</si>
  <si>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</si>
  <si>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</si>
  <si>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</si>
  <si>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</si>
  <si>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</si>
  <si>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</si>
  <si>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</si>
  <si>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</si>
  <si>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</si>
  <si>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</si>
  <si>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</si>
  <si>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</si>
  <si>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</si>
  <si>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</si>
  <si>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</si>
  <si>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</si>
  <si>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</si>
  <si>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</si>
  <si>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</si>
  <si>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</si>
  <si>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</si>
  <si>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</si>
  <si>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</si>
  <si>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</si>
  <si>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</si>
  <si>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</si>
  <si>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</si>
  <si>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</si>
  <si>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</si>
  <si>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</si>
  <si>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</si>
  <si>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</si>
  <si>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</si>
  <si>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</si>
  <si>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</si>
  <si>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</si>
  <si>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</si>
  <si>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</si>
  <si>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</si>
  <si>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</si>
  <si>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</si>
  <si>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</si>
  <si>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</si>
  <si>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</si>
  <si>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</si>
  <si>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</si>
  <si>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</si>
  <si>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</si>
  <si>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</si>
  <si>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</si>
  <si>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</si>
  <si>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</si>
  <si>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</si>
  <si>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</si>
  <si>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</si>
  <si>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</si>
  <si>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</si>
  <si>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</si>
  <si>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</si>
  <si>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</si>
  <si>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</si>
  <si>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</si>
  <si>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</si>
  <si>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</si>
  <si>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</si>
  <si>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</si>
  <si>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</si>
  <si>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</si>
  <si>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</si>
  <si>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</si>
  <si>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</si>
  <si>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</si>
  <si>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</si>
  <si>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</si>
  <si>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</si>
  <si>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</si>
  <si>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</si>
  <si>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</si>
  <si>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</si>
  <si>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</si>
  <si>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</si>
  <si>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</si>
  <si>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</si>
  <si>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</si>
  <si>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</si>
  <si>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</si>
  <si>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</si>
  <si>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</si>
  <si>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</si>
  <si>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</si>
  <si>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</si>
  <si>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</si>
  <si>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</si>
  <si>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</si>
  <si>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</si>
  <si>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</si>
  <si>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</si>
  <si>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</si>
  <si>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</si>
  <si>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</si>
  <si>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</si>
  <si>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</si>
  <si>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</si>
  <si>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</si>
  <si>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</si>
  <si>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</si>
  <si>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</si>
  <si>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</si>
  <si>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</si>
  <si>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</si>
  <si>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</si>
  <si>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</si>
  <si>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</si>
  <si>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</si>
  <si>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</si>
  <si>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</si>
  <si>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</si>
  <si>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</si>
  <si>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</si>
  <si>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</si>
  <si>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</si>
  <si>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</si>
  <si>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</si>
  <si>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</si>
  <si>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</si>
  <si>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</si>
  <si>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</si>
  <si>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</si>
  <si>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</si>
  <si>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</si>
  <si>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</si>
  <si>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</si>
  <si>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</si>
  <si>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</si>
  <si>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</si>
  <si>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</si>
  <si>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</si>
  <si>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</si>
  <si>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</si>
  <si>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</si>
  <si>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</si>
  <si>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</si>
  <si>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</si>
  <si>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</si>
  <si>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</si>
  <si>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</si>
  <si>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</si>
  <si>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</si>
  <si>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</si>
  <si>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</si>
  <si>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</si>
  <si>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</si>
  <si>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</si>
  <si>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</si>
  <si>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</si>
  <si>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</si>
  <si>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</si>
  <si>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</si>
  <si>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</si>
  <si>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</si>
  <si>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</si>
  <si>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</si>
  <si>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</si>
  <si>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</si>
  <si>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</si>
  <si>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</si>
  <si>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</si>
  <si>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</si>
  <si>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</si>
  <si>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</si>
  <si>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</si>
  <si>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</si>
  <si>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</si>
  <si>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</si>
  <si>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</si>
  <si>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</si>
  <si>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</si>
  <si>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</si>
  <si>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</si>
  <si>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</si>
  <si>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</si>
  <si>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</si>
  <si>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</si>
  <si>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</si>
  <si>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</si>
  <si>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</si>
  <si>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</si>
  <si>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</si>
  <si>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</si>
  <si>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</si>
  <si>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</si>
  <si>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</si>
  <si>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</si>
  <si>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</si>
  <si>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</si>
  <si>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</si>
  <si>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</si>
  <si>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</si>
  <si>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</si>
  <si>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</si>
  <si>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</si>
  <si>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</si>
  <si>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</si>
  <si>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</si>
  <si>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</si>
  <si>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</si>
  <si>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</si>
  <si>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</si>
  <si>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</si>
  <si>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</si>
  <si>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</si>
  <si>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</si>
  <si>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</si>
  <si>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</si>
  <si>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</si>
  <si>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</si>
  <si>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</si>
  <si>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</si>
  <si>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</si>
  <si>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</si>
  <si>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</si>
  <si>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</si>
  <si>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</si>
  <si>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</si>
  <si>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</si>
  <si>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</si>
  <si>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</si>
  <si>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</si>
  <si>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</si>
  <si>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</si>
  <si>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</si>
  <si>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</si>
  <si>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</si>
  <si>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</si>
  <si>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</si>
  <si>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</si>
  <si>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</si>
  <si>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</si>
  <si>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</si>
  <si>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</si>
  <si>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</si>
  <si>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</si>
  <si>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</si>
  <si>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</si>
  <si>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</si>
  <si>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</si>
  <si>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</si>
  <si>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</si>
  <si>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</si>
  <si>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</si>
  <si>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</si>
  <si>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</si>
  <si>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</si>
  <si>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</si>
  <si>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</si>
  <si>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</si>
  <si>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</si>
  <si>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</si>
  <si>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</si>
  <si>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</si>
  <si>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</si>
  <si>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</si>
  <si>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</si>
  <si>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</si>
  <si>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</si>
  <si>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</si>
  <si>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</si>
  <si>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</si>
  <si>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</si>
  <si>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</si>
  <si>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</si>
  <si>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</si>
  <si>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</si>
  <si>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</si>
  <si>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</si>
  <si>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</si>
  <si>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</si>
  <si>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</si>
  <si>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</si>
  <si>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</si>
  <si>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</si>
  <si>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</si>
  <si>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</si>
  <si>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</si>
  <si>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</si>
  <si>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</si>
  <si>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</si>
  <si>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</si>
  <si>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</si>
  <si>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</si>
  <si>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</si>
  <si>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</si>
  <si>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</si>
  <si>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</si>
  <si>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</si>
  <si>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</si>
  <si>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</si>
  <si>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</si>
  <si>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</si>
  <si>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</si>
  <si>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</si>
  <si>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</si>
  <si>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</si>
  <si>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</si>
  <si>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</si>
  <si>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</si>
  <si>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</si>
  <si>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</si>
  <si>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</si>
  <si>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</si>
  <si>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</si>
  <si>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</si>
  <si>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</si>
  <si>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</si>
  <si>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</si>
  <si>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</si>
  <si>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</si>
  <si>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</si>
  <si>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</si>
  <si>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</si>
  <si>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</si>
  <si>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</si>
  <si>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</si>
  <si>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</si>
  <si>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</si>
  <si>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</si>
  <si>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</si>
  <si>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</si>
  <si>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</si>
  <si>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</si>
  <si>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</si>
  <si>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</si>
  <si>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</si>
  <si>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</si>
  <si>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</si>
  <si>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</si>
  <si>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</si>
  <si>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</si>
  <si>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</si>
  <si>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</si>
  <si>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</si>
  <si>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</si>
  <si>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</si>
  <si>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</si>
  <si>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</si>
  <si>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</si>
  <si>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</si>
  <si>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</si>
  <si>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</si>
  <si>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</si>
  <si>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</si>
  <si>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</si>
  <si>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</si>
  <si>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</si>
  <si>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</si>
  <si>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</si>
  <si>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</si>
  <si>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</si>
  <si>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</si>
  <si>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</si>
  <si>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</si>
  <si>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</si>
  <si>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</si>
  <si>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</si>
  <si>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</si>
  <si>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</si>
  <si>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</si>
  <si>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</si>
  <si>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</si>
  <si>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</si>
  <si>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</si>
  <si>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</si>
  <si>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</si>
  <si>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</si>
  <si>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</si>
  <si>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</si>
  <si>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</si>
  <si>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</si>
  <si>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</si>
  <si>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</si>
  <si>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</si>
  <si>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</si>
  <si>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</si>
  <si>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</si>
  <si>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</si>
  <si>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</si>
  <si>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</si>
  <si>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</si>
  <si>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</si>
  <si>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</si>
  <si>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</si>
  <si>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</si>
  <si>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</si>
  <si>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</si>
  <si>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</si>
  <si>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</si>
  <si>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</si>
  <si>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</si>
  <si>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</si>
  <si>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</si>
  <si>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</si>
  <si>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</si>
  <si>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</si>
  <si>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</si>
  <si>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</si>
  <si>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</si>
  <si>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</si>
  <si>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</si>
  <si>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</si>
  <si>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</si>
  <si>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</si>
  <si>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</si>
  <si>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</si>
  <si>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</si>
  <si>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</si>
  <si>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</si>
  <si>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</si>
  <si>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</si>
  <si>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</si>
  <si>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</si>
  <si>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</si>
  <si>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</si>
  <si>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</si>
  <si>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</si>
  <si>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</si>
  <si>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</si>
  <si>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</si>
  <si>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</si>
  <si>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</si>
  <si>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</si>
  <si>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</si>
  <si>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</si>
  <si>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</si>
  <si>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</si>
  <si>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</si>
  <si>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</si>
  <si>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</si>
  <si>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</si>
  <si>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</si>
  <si>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</si>
  <si>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</si>
  <si>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</si>
  <si>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</si>
  <si>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</si>
  <si>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</si>
  <si>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</si>
  <si>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</si>
  <si>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</si>
  <si>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</si>
  <si>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</si>
  <si>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</si>
  <si>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</si>
  <si>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</si>
  <si>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</si>
  <si>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</si>
  <si>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</si>
  <si>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</si>
  <si>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</si>
  <si>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</si>
  <si>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</si>
  <si>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</si>
  <si>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</si>
  <si>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</si>
  <si>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</si>
  <si>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</si>
  <si>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</si>
  <si>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</si>
  <si>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</si>
  <si>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</si>
  <si>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</si>
  <si>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</si>
  <si>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</si>
  <si>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</si>
  <si>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</si>
  <si>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</si>
  <si>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</si>
  <si>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</si>
  <si>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</si>
  <si>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</si>
  <si>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</si>
  <si>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</si>
  <si>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</si>
  <si>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</si>
  <si>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</si>
  <si>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</si>
  <si>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</si>
  <si>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</si>
  <si>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</si>
  <si>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</si>
  <si>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</si>
  <si>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</si>
  <si>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</si>
  <si>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</si>
  <si>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</si>
  <si>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</si>
  <si>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</si>
  <si>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</si>
  <si>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</si>
  <si>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</si>
  <si>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</si>
  <si>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</si>
  <si>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</si>
  <si>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</si>
  <si>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</si>
  <si>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</si>
  <si>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</si>
  <si>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</si>
  <si>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</si>
  <si>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</si>
  <si>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</si>
  <si>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</si>
  <si>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</si>
  <si>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</si>
  <si>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</si>
  <si>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</si>
  <si>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</si>
  <si>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</si>
  <si>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</si>
  <si>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</si>
  <si>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</si>
  <si>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</si>
  <si>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</si>
  <si>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</si>
  <si>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</si>
  <si>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</si>
  <si>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</si>
  <si>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</si>
  <si>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</si>
  <si>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</si>
  <si>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</si>
  <si>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</si>
  <si>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</si>
  <si>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</si>
  <si>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</si>
  <si>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</si>
  <si>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</si>
  <si>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</si>
  <si>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</si>
  <si>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</si>
  <si>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</si>
  <si>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</si>
  <si>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</si>
  <si>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</si>
  <si>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</si>
  <si>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</si>
  <si>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</si>
  <si>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</si>
  <si>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</si>
  <si>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</si>
  <si>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</si>
  <si>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</si>
  <si>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</si>
  <si>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</si>
  <si>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</si>
  <si>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</si>
  <si>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</si>
  <si>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</si>
  <si>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</si>
  <si>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</si>
  <si>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</si>
  <si>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</si>
  <si>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</si>
  <si>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</si>
  <si>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</si>
  <si>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</si>
  <si>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</si>
  <si>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</si>
  <si>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</si>
  <si>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</si>
  <si>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</si>
  <si>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</si>
  <si>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</si>
  <si>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</si>
  <si>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</si>
  <si>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</si>
  <si>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</si>
  <si>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</si>
  <si>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</si>
  <si>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</si>
  <si>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</si>
  <si>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</si>
  <si>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</si>
  <si>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</si>
  <si>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</si>
  <si>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</si>
  <si>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</si>
  <si>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</si>
  <si>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</si>
  <si>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</si>
  <si>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</si>
  <si>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</si>
  <si>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</si>
  <si>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</si>
  <si>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</si>
  <si>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</si>
  <si>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</si>
  <si>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</si>
  <si>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</si>
  <si>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</si>
  <si>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</si>
  <si>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</si>
  <si>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</si>
  <si>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</si>
  <si>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</si>
  <si>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</si>
  <si>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</si>
  <si>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</si>
  <si>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</si>
  <si>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</si>
  <si>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</si>
  <si>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</si>
  <si>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</si>
  <si>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</si>
  <si>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</si>
  <si>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</si>
  <si>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</si>
  <si>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</si>
  <si>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</si>
  <si>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</si>
  <si>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</si>
  <si>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</si>
  <si>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</si>
  <si>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</si>
  <si>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</si>
  <si>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</si>
  <si>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</si>
  <si>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</si>
  <si>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</si>
  <si>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</si>
  <si>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</si>
  <si>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</si>
  <si>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</si>
  <si>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</si>
  <si>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</si>
  <si>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</si>
  <si>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</si>
  <si>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</si>
  <si>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</si>
  <si>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</si>
  <si>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</si>
  <si>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</si>
  <si>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</si>
  <si>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</si>
  <si>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</si>
  <si>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</si>
  <si>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</si>
  <si>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</si>
  <si>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</si>
  <si>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</si>
  <si>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</si>
  <si>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</si>
  <si>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</si>
  <si>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</si>
  <si>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</si>
  <si>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</si>
  <si>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</si>
  <si>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</si>
  <si>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</si>
  <si>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</si>
  <si>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</si>
  <si>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</si>
  <si>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</si>
  <si>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</si>
  <si>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</si>
  <si>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</si>
  <si>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</si>
  <si>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</si>
  <si>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</si>
  <si>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</si>
  <si>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</si>
  <si>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</si>
  <si>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</si>
  <si>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</si>
  <si>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</si>
  <si>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</si>
  <si>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</si>
  <si>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</si>
  <si>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</si>
  <si>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</si>
  <si>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</si>
  <si>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</si>
  <si>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</si>
  <si>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</si>
  <si>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</si>
  <si>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</si>
  <si>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</si>
  <si>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</si>
  <si>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</si>
  <si>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</si>
  <si>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</si>
  <si>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</si>
  <si>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</si>
  <si>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</si>
  <si>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</si>
  <si>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</si>
  <si>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</si>
  <si>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</si>
  <si>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</si>
  <si>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</si>
  <si>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</si>
  <si>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</si>
  <si>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</si>
  <si>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</si>
  <si>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</si>
  <si>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</si>
  <si>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</si>
  <si>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</si>
  <si>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</si>
  <si>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</si>
  <si>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</si>
  <si>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</si>
  <si>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</si>
  <si>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</si>
  <si>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</si>
  <si>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</si>
  <si>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</si>
  <si>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</si>
  <si>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</si>
  <si>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</si>
  <si>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</si>
  <si>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</si>
  <si>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</si>
  <si>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</si>
  <si>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</si>
  <si>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</si>
  <si>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</si>
  <si>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</si>
  <si>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</si>
  <si>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</si>
  <si>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</si>
  <si>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</si>
  <si>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</si>
  <si>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</si>
  <si>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</si>
  <si>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</si>
  <si>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</si>
  <si>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</si>
  <si>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</si>
  <si>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</si>
  <si>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</si>
  <si>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</si>
  <si>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</si>
  <si>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</si>
  <si>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</si>
  <si>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</si>
  <si>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</si>
  <si>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</si>
  <si>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</si>
  <si>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</si>
  <si>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</si>
  <si>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</si>
  <si>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</si>
  <si>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</si>
  <si>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</si>
  <si>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</si>
  <si>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</si>
  <si>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</si>
  <si>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</si>
  <si>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</si>
  <si>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</si>
  <si>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</si>
  <si>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</si>
  <si>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</si>
  <si>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</si>
  <si>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</si>
  <si>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</si>
  <si>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</si>
  <si>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</si>
  <si>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</si>
  <si>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</si>
  <si>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</si>
  <si>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</si>
  <si>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</si>
  <si>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</si>
  <si>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</si>
  <si>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</si>
  <si>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</si>
  <si>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</si>
  <si>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</si>
  <si>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</si>
  <si>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</si>
  <si>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</si>
  <si>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</si>
  <si>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</si>
  <si>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</si>
  <si>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</si>
  <si>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</si>
  <si>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</si>
  <si>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</si>
  <si>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</si>
  <si>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</si>
  <si>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</si>
  <si>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</si>
  <si>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</si>
  <si>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</si>
  <si>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</si>
  <si>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</si>
  <si>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</si>
  <si>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</si>
  <si>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</si>
  <si>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</si>
  <si>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</si>
  <si>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</si>
  <si>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</si>
  <si>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</si>
  <si>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</si>
  <si>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</si>
  <si>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</si>
  <si>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</si>
  <si>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</si>
  <si>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</si>
  <si>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</si>
  <si>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</si>
  <si>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</si>
  <si>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</si>
  <si>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</si>
  <si>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</si>
  <si>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</si>
  <si>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</si>
  <si>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</si>
  <si>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</si>
  <si>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</si>
  <si>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</si>
  <si>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</si>
  <si>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</si>
  <si>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</si>
  <si>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</si>
  <si>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</si>
  <si>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</si>
  <si>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</si>
  <si>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</si>
  <si>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</si>
  <si>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</si>
  <si>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</si>
  <si>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</si>
  <si>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</si>
  <si>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</si>
  <si>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</si>
  <si>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</si>
  <si>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</si>
  <si>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</si>
  <si>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</si>
  <si>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</si>
  <si>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</si>
  <si>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</si>
  <si>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</si>
  <si>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</si>
  <si>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</si>
  <si>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</si>
  <si>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</si>
  <si>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</si>
  <si>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</si>
  <si>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</si>
  <si>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</si>
  <si>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</si>
  <si>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</si>
  <si>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</si>
  <si>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</si>
  <si>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</si>
  <si>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</si>
  <si>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</si>
  <si>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</si>
  <si>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</si>
  <si>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</si>
  <si>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</si>
  <si>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</si>
  <si>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</si>
  <si>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</si>
  <si>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</si>
  <si>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</si>
  <si>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</si>
  <si>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</si>
  <si>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</si>
  <si>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</si>
  <si>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</si>
  <si>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</si>
  <si>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</si>
  <si>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</si>
  <si>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</si>
  <si>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</si>
  <si>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</si>
  <si>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</si>
  <si>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</si>
  <si>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</si>
  <si>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</si>
  <si>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</si>
  <si>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</si>
  <si>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</si>
  <si>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</si>
  <si>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</si>
  <si>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</si>
  <si>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</si>
  <si>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</si>
  <si>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</si>
  <si>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</si>
  <si>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</si>
  <si>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</si>
  <si>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</si>
  <si>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</si>
  <si>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</si>
  <si>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</si>
  <si>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</si>
  <si>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</si>
  <si>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</si>
  <si>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</si>
  <si>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</si>
  <si>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</si>
  <si>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</si>
  <si>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</si>
  <si>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</si>
  <si>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</si>
  <si>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</si>
  <si>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</si>
  <si>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</si>
  <si>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</si>
  <si>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</si>
  <si>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</si>
  <si>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</si>
  <si>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</si>
  <si>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</si>
  <si>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</si>
  <si>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</si>
  <si>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</si>
  <si>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</si>
  <si>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</si>
  <si>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</si>
  <si>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</si>
  <si>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</si>
  <si>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</si>
  <si>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</si>
  <si>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</si>
  <si>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</si>
  <si>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</si>
  <si>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</si>
  <si>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</si>
  <si>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</si>
  <si>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</si>
  <si>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</si>
  <si>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</si>
  <si>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</si>
  <si>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</si>
  <si>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</si>
  <si>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</si>
  <si>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</si>
  <si>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</si>
  <si>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</si>
  <si>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</si>
  <si>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</si>
  <si>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</si>
  <si>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</si>
  <si>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</si>
  <si>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</si>
  <si>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</si>
  <si>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</si>
  <si>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</si>
  <si>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</si>
  <si>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</si>
  <si>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</si>
  <si>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</si>
  <si>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</si>
  <si>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</si>
  <si>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</si>
  <si>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</si>
  <si>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</si>
  <si>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</si>
  <si>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</si>
  <si>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</si>
  <si>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</si>
  <si>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</si>
  <si>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</si>
  <si>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</si>
  <si>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</si>
  <si>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</si>
  <si>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</si>
  <si>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</si>
  <si>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</si>
  <si>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</si>
  <si>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</si>
  <si>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</si>
  <si>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</si>
  <si>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</si>
  <si>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</si>
  <si>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</si>
  <si>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</si>
  <si>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</si>
  <si>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</si>
  <si>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</si>
  <si>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</si>
  <si>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</si>
  <si>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</si>
  <si>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</si>
  <si>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</si>
  <si>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</si>
  <si>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</si>
  <si>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</si>
  <si>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</si>
  <si>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</si>
  <si>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</si>
  <si>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</si>
  <si>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</si>
  <si>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</si>
  <si>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</si>
  <si>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</si>
  <si>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</si>
  <si>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</si>
  <si>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</si>
  <si>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</si>
  <si>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</si>
  <si>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</si>
  <si>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</si>
  <si>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</si>
  <si>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</si>
  <si>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</si>
  <si>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</si>
  <si>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</si>
  <si>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</si>
  <si>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</si>
  <si>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</si>
  <si>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</si>
  <si>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</si>
  <si>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</si>
  <si>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</si>
  <si>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</si>
  <si>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</si>
  <si>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</si>
  <si>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</si>
  <si>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</si>
  <si>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</si>
  <si>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</si>
  <si>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</si>
  <si>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</si>
  <si>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</si>
  <si>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</si>
  <si>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</si>
  <si>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</si>
  <si>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</si>
  <si>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</si>
  <si>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</si>
  <si>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</si>
  <si>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</si>
  <si>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</si>
  <si>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</si>
  <si>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</si>
  <si>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</si>
  <si>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</si>
  <si>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</si>
  <si>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</si>
  <si>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</si>
  <si>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</si>
  <si>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</si>
  <si>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</si>
  <si>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</si>
  <si>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</si>
  <si>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</si>
  <si>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</si>
  <si>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</si>
  <si>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</si>
  <si>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</si>
  <si>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</si>
  <si>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</si>
  <si>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</si>
  <si>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</si>
  <si>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</si>
  <si>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</si>
  <si>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</si>
  <si>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</si>
  <si>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</si>
  <si>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</si>
  <si>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</si>
  <si>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</si>
  <si>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</si>
  <si>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</si>
  <si>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</si>
  <si>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</si>
  <si>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</si>
  <si>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</si>
  <si>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</si>
  <si>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</si>
  <si>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</si>
  <si>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</si>
  <si>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</si>
  <si>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</si>
  <si>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</si>
  <si>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</si>
  <si>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</si>
  <si>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</si>
  <si>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</si>
  <si>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</si>
  <si>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</si>
  <si>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</si>
  <si>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</si>
  <si>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</si>
  <si>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</si>
  <si>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</si>
  <si>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</si>
  <si>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</si>
  <si>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</si>
  <si>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</si>
  <si>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</si>
  <si>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</si>
  <si>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</si>
  <si>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</si>
  <si>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</si>
  <si>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</si>
  <si>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</si>
  <si>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</si>
  <si>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</si>
  <si>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</si>
  <si>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</si>
  <si>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</si>
  <si>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</si>
  <si>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</si>
  <si>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</si>
  <si>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</si>
  <si>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</si>
  <si>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</si>
  <si>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</si>
  <si>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</si>
  <si>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</si>
  <si>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</si>
  <si>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</si>
  <si>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</si>
  <si>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</si>
  <si>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</si>
  <si>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</si>
  <si>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</si>
  <si>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</si>
  <si>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</si>
  <si>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</si>
  <si>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</si>
  <si>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</si>
  <si>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</si>
  <si>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</si>
  <si>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</si>
  <si>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</si>
  <si>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</si>
  <si>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</si>
  <si>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</si>
  <si>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</si>
  <si>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</si>
  <si>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</si>
  <si>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</si>
  <si>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</si>
  <si>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</si>
  <si>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</si>
  <si>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</si>
  <si>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</si>
  <si>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</si>
  <si>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</si>
  <si>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</si>
  <si>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</si>
  <si>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</si>
  <si>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</si>
  <si>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</si>
  <si>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</si>
  <si>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</si>
  <si>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</si>
  <si>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</si>
  <si>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</si>
  <si>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</si>
  <si>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</si>
  <si>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</si>
  <si>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</si>
  <si>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</si>
  <si>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</si>
  <si>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</si>
  <si>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</si>
  <si>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</si>
  <si>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</si>
  <si>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</si>
  <si>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</si>
  <si>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</si>
  <si>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</si>
  <si>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</si>
  <si>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</si>
  <si>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</si>
  <si>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</si>
  <si>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</si>
  <si>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</si>
  <si>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</si>
  <si>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</si>
  <si>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</si>
  <si>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</si>
  <si>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</si>
  <si>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</si>
  <si>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</si>
  <si>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</si>
  <si>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</si>
  <si>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</si>
  <si>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</si>
  <si>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</si>
  <si>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</si>
  <si>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</si>
  <si>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</si>
  <si>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</si>
  <si>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</si>
  <si>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</si>
  <si>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</si>
  <si>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</si>
  <si>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</si>
  <si>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</si>
  <si>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</si>
  <si>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</si>
  <si>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</si>
  <si>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</si>
  <si>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</si>
  <si>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</si>
  <si>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</si>
  <si>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</si>
  <si>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</si>
  <si>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</si>
  <si>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</si>
  <si>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</si>
  <si>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</si>
  <si>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</si>
  <si>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</si>
  <si>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</si>
  <si>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</si>
  <si>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</si>
  <si>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</si>
  <si>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</si>
  <si>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</si>
  <si>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</si>
  <si>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</si>
  <si>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</si>
  <si>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</si>
  <si>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</si>
  <si>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</si>
  <si>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</si>
  <si>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</si>
  <si>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</si>
  <si>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</si>
  <si>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</si>
  <si>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</si>
  <si>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</si>
  <si>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</si>
  <si>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</si>
  <si>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</si>
  <si>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</si>
  <si>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</si>
  <si>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</si>
  <si>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</si>
  <si>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</si>
  <si>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</si>
  <si>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</si>
  <si>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</si>
  <si>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</si>
  <si>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</si>
  <si>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</si>
  <si>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</si>
  <si>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</si>
  <si>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</si>
  <si>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</si>
  <si>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</si>
  <si>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</si>
  <si>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</si>
  <si>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</si>
  <si>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</si>
  <si>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</si>
  <si>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</si>
  <si>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</si>
  <si>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</si>
  <si>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</si>
  <si>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</si>
  <si>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</si>
  <si>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</si>
  <si>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</si>
  <si>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</si>
  <si>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</si>
  <si>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</si>
  <si>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</si>
  <si>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</si>
  <si>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</si>
  <si>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</si>
  <si>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</si>
  <si>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</si>
  <si>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</si>
  <si>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</si>
  <si>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</si>
  <si>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</si>
  <si>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</si>
  <si>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</si>
  <si>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</si>
  <si>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</si>
  <si>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</si>
  <si>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</si>
  <si>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</si>
  <si>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</si>
  <si>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</si>
  <si>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</si>
  <si>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</si>
  <si>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</si>
  <si>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</si>
  <si>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</si>
  <si>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</si>
  <si>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</si>
  <si>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</si>
  <si>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</si>
  <si>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</si>
  <si>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</si>
  <si>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</si>
  <si>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</si>
  <si>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</si>
  <si>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</si>
  <si>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</si>
  <si>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</si>
  <si>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</si>
  <si>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</si>
  <si>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</si>
  <si>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</si>
  <si>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</si>
  <si>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</si>
  <si>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</si>
  <si>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</si>
  <si>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</si>
  <si>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</si>
  <si>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</si>
  <si>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</si>
  <si>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</si>
  <si>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</si>
  <si>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</si>
  <si>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</si>
  <si>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</si>
  <si>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</si>
  <si>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</si>
  <si>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</si>
  <si>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</si>
  <si>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</si>
  <si>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</si>
  <si>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</si>
  <si>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</si>
  <si>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</si>
  <si>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</si>
  <si>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</si>
  <si>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</si>
  <si>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</si>
  <si>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</si>
  <si>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</si>
  <si>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</si>
  <si>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</si>
  <si>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</si>
  <si>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</si>
  <si>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</si>
  <si>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</si>
  <si>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</si>
  <si>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</si>
  <si>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</si>
  <si>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</si>
  <si>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</si>
  <si>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</si>
  <si>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</si>
  <si>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</si>
  <si>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</si>
  <si>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</si>
  <si>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</si>
  <si>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</si>
  <si>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</si>
  <si>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</si>
  <si>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</si>
  <si>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</si>
  <si>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</si>
  <si>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</si>
  <si>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</si>
  <si>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</si>
  <si>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</si>
  <si>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</si>
  <si>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</si>
  <si>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</si>
  <si>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</si>
  <si>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</si>
  <si>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</si>
  <si>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</si>
  <si>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</si>
  <si>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</si>
  <si>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</si>
  <si>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</si>
  <si>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</si>
  <si>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</si>
  <si>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</si>
  <si>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</si>
  <si>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</si>
  <si>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</si>
  <si>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</si>
  <si>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</si>
  <si>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</si>
  <si>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</si>
  <si>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</si>
  <si>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</si>
  <si>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</si>
  <si>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</si>
  <si>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</si>
  <si>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</si>
  <si>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</si>
  <si>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</si>
  <si>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</si>
  <si>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</si>
  <si>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</si>
  <si>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</si>
  <si>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</si>
  <si>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</si>
  <si>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</si>
  <si>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</si>
  <si>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</si>
  <si>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</si>
  <si>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</si>
  <si>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</si>
  <si>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</si>
  <si>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</si>
  <si>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</si>
  <si>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</si>
  <si>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</si>
  <si>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</si>
  <si>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</si>
  <si>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</si>
  <si>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</si>
  <si>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</si>
  <si>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</si>
  <si>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</si>
  <si>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</si>
  <si>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</si>
  <si>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</si>
  <si>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</si>
  <si>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</si>
  <si>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</si>
  <si>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</si>
  <si>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</si>
  <si>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</si>
  <si>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</si>
  <si>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</si>
  <si>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</si>
  <si>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</si>
  <si>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</si>
  <si>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</si>
  <si>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</si>
  <si>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</si>
  <si>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</si>
  <si>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</si>
  <si>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</si>
  <si>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</si>
  <si>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</si>
  <si>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</si>
  <si>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</si>
  <si>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</si>
  <si>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</si>
  <si>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</si>
  <si>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</si>
  <si>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</si>
  <si>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</si>
  <si>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</si>
  <si>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</si>
  <si>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</si>
  <si>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</si>
  <si>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</si>
  <si>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</si>
  <si>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</si>
  <si>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</si>
  <si>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</si>
  <si>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</si>
  <si>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</si>
  <si>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</si>
  <si>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</si>
  <si>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</si>
  <si>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</si>
  <si>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</si>
  <si>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</si>
  <si>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</si>
  <si>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</si>
  <si>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</si>
  <si>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</si>
  <si>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</si>
  <si>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</si>
  <si>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</si>
  <si>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</si>
  <si>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</si>
  <si>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</si>
  <si>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</si>
  <si>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</si>
  <si>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</si>
  <si>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</si>
  <si>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</si>
  <si>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</si>
  <si>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</si>
  <si>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</si>
  <si>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</si>
  <si>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</si>
  <si>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</si>
  <si>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</si>
  <si>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</si>
  <si>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</si>
  <si>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</si>
  <si>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</si>
  <si>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</si>
  <si>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</si>
  <si>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</si>
  <si>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</si>
  <si>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</si>
  <si>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</si>
  <si>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</si>
  <si>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</si>
  <si>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</si>
  <si>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</si>
  <si>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</si>
  <si>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</si>
  <si>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</si>
  <si>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</si>
  <si>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</si>
  <si>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</si>
  <si>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</si>
  <si>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</si>
  <si>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</si>
  <si>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</si>
  <si>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</si>
  <si>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</si>
  <si>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</si>
  <si>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</si>
  <si>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</si>
  <si>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</si>
  <si>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</si>
  <si>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</si>
  <si>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</si>
  <si>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</si>
  <si>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</si>
  <si>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</si>
  <si>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</si>
  <si>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</si>
  <si>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</si>
  <si>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</si>
  <si>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</si>
  <si>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</si>
  <si>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</si>
  <si>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</si>
  <si>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</si>
  <si>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</si>
  <si>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</si>
  <si>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</si>
  <si>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</si>
  <si>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</si>
  <si>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</si>
  <si>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</si>
  <si>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</si>
  <si>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</si>
  <si>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</si>
  <si>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</si>
  <si>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</si>
  <si>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</si>
  <si>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</si>
  <si>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</si>
  <si>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</si>
  <si>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</si>
  <si>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</si>
  <si>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</si>
  <si>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</si>
  <si>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</si>
  <si>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</si>
  <si>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</si>
  <si>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</si>
  <si>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</si>
  <si>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</si>
  <si>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</si>
  <si>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</si>
  <si>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</si>
  <si>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</si>
  <si>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</si>
  <si>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</si>
  <si>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</si>
  <si>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</si>
  <si>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</si>
  <si>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</si>
  <si>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</si>
  <si>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</si>
  <si>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</si>
  <si>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</si>
  <si>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</si>
  <si>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</si>
  <si>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</si>
  <si>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</si>
  <si>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</si>
  <si>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</si>
  <si>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</si>
  <si>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</si>
  <si>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</si>
  <si>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</si>
  <si>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</si>
  <si>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</si>
  <si>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</si>
  <si>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</si>
  <si>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</si>
  <si>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</si>
  <si>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</si>
  <si>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</si>
  <si>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</si>
  <si>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</si>
  <si>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</si>
  <si>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</si>
  <si>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</si>
  <si>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</si>
  <si>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</si>
  <si>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</si>
  <si>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</si>
  <si>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</si>
  <si>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</si>
  <si>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</si>
  <si>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</si>
  <si>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</si>
  <si>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</si>
  <si>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</si>
  <si>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</si>
  <si>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</si>
  <si>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</si>
  <si>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</si>
  <si>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</si>
  <si>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</si>
  <si>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</si>
  <si>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</si>
  <si>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</si>
  <si>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</si>
  <si>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</si>
  <si>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</si>
  <si>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</si>
  <si>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</si>
  <si>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</si>
  <si>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</si>
  <si>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</si>
  <si>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</si>
  <si>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</si>
  <si>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</si>
  <si>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</si>
  <si>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</si>
  <si>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</si>
  <si>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</si>
  <si>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</si>
  <si>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</si>
  <si>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</si>
  <si>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</si>
  <si>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</si>
  <si>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</si>
  <si>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</si>
  <si>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</si>
  <si>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</si>
  <si>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</si>
  <si>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</si>
  <si>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</si>
  <si>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</si>
  <si>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</si>
  <si>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</si>
  <si>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</si>
  <si>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</si>
  <si>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</si>
  <si>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</si>
  <si>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</si>
  <si>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</si>
  <si>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</si>
  <si>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</si>
  <si>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</si>
  <si>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</si>
  <si>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</si>
  <si>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</si>
  <si>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</si>
  <si>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</si>
  <si>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</si>
  <si>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</si>
  <si>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</si>
  <si>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</si>
  <si>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</si>
  <si>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</si>
  <si>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</si>
  <si>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</si>
  <si>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</si>
  <si>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</si>
  <si>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</si>
  <si>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</si>
  <si>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</si>
  <si>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</si>
  <si>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</si>
  <si>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</si>
  <si>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</si>
  <si>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</si>
  <si>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</si>
  <si>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</si>
  <si>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</si>
  <si>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</si>
  <si>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</si>
  <si>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</si>
  <si>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</si>
  <si>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</si>
  <si>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</si>
  <si>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</si>
  <si>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</si>
  <si>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</si>
  <si>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</si>
  <si>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</si>
  <si>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</si>
  <si>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</si>
  <si>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</si>
  <si>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</si>
  <si>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</si>
  <si>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</si>
  <si>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</si>
  <si>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</si>
  <si>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</si>
  <si>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</si>
  <si>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</si>
  <si>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</si>
  <si>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</si>
  <si>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</si>
  <si>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</si>
  <si>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</si>
  <si>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</si>
  <si>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</si>
  <si>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</si>
  <si>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</si>
  <si>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</si>
  <si>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</si>
  <si>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</si>
  <si>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</si>
  <si>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</si>
  <si>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</si>
  <si>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</si>
  <si>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</si>
  <si>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</si>
  <si>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</si>
  <si>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</si>
  <si>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</si>
  <si>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</si>
  <si>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</si>
  <si>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</si>
  <si>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</si>
  <si>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</si>
  <si>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</si>
  <si>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</si>
  <si>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</si>
  <si>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</si>
  <si>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</si>
  <si>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</si>
  <si>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</si>
  <si>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</si>
  <si>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</si>
  <si>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</si>
  <si>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</si>
  <si>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</si>
  <si>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</si>
  <si>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</si>
  <si>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</si>
  <si>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</si>
  <si>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</si>
  <si>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</si>
  <si>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</si>
  <si>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</si>
  <si>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</si>
  <si>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</si>
  <si>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</si>
  <si>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</si>
  <si>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</si>
  <si>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</si>
  <si>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</si>
  <si>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</si>
  <si>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</si>
  <si>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</si>
  <si>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</si>
  <si>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</si>
  <si>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</si>
  <si>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</si>
  <si>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</si>
  <si>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</si>
  <si>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</si>
  <si>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</si>
  <si>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</si>
  <si>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</si>
  <si>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</si>
  <si>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</si>
  <si>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</si>
  <si>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</si>
  <si>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</si>
  <si>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</si>
  <si>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</si>
  <si>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</si>
  <si>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</si>
  <si>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</si>
  <si>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</si>
  <si>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</si>
  <si>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</si>
  <si>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</si>
  <si>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</si>
  <si>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</si>
  <si>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</si>
  <si>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</si>
  <si>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</si>
  <si>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</si>
  <si>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</si>
  <si>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</si>
  <si>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</si>
  <si>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</si>
  <si>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</si>
  <si>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</si>
  <si>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</si>
  <si>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</si>
  <si>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</si>
  <si>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</si>
  <si>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</si>
  <si>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</si>
  <si>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</si>
  <si>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</si>
  <si>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</si>
  <si>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</si>
  <si>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</si>
  <si>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</si>
  <si>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</si>
  <si>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</si>
  <si>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</si>
  <si>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</si>
  <si>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</si>
  <si>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</si>
  <si>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</si>
  <si>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</si>
  <si>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</si>
  <si>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</si>
  <si>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</si>
  <si>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</si>
  <si>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</si>
  <si>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</si>
  <si>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</si>
  <si>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</si>
  <si>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</si>
  <si>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</si>
  <si>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</si>
  <si>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</si>
  <si>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</si>
  <si>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</si>
  <si>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</si>
  <si>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</si>
  <si>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</si>
  <si>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</si>
  <si>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</si>
  <si>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</si>
  <si>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</si>
  <si>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</si>
  <si>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</si>
  <si>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</si>
  <si>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</si>
  <si>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</si>
  <si>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</si>
  <si>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</si>
  <si>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</si>
  <si>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</si>
  <si>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</si>
  <si>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</si>
  <si>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</si>
  <si>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</si>
  <si>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</si>
  <si>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</si>
  <si>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</si>
  <si>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</si>
  <si>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</si>
  <si>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</si>
  <si>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</si>
  <si>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</si>
  <si>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</si>
  <si>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</si>
  <si>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</si>
  <si>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</si>
  <si>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</si>
  <si>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</si>
  <si>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</si>
  <si>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</si>
  <si>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</si>
  <si>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</si>
  <si>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</si>
  <si>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</si>
  <si>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</si>
  <si>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</si>
  <si>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</si>
  <si>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</si>
  <si>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</si>
  <si>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</si>
  <si>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</si>
  <si>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</si>
  <si>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</si>
  <si>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</si>
  <si>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</si>
  <si>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</si>
  <si>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</si>
  <si>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</si>
  <si>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</si>
  <si>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</si>
  <si>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</si>
  <si>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</si>
  <si>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</si>
  <si>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</si>
  <si>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</si>
  <si>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</si>
  <si>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</si>
  <si>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</si>
  <si>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</si>
  <si>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</si>
  <si>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</si>
  <si>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</si>
  <si>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</si>
  <si>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</si>
  <si>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</si>
  <si>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</si>
  <si>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</si>
  <si>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</si>
  <si>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</si>
  <si>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</si>
  <si>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</si>
  <si>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</si>
  <si>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</si>
  <si>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</si>
  <si>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</si>
  <si>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</si>
  <si>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</si>
  <si>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</si>
  <si>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</si>
  <si>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</si>
  <si>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</si>
  <si>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</si>
  <si>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</si>
  <si>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</si>
  <si>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</si>
  <si>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</si>
  <si>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</si>
  <si>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</si>
  <si>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</si>
  <si>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</si>
  <si>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</si>
  <si>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</si>
  <si>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</si>
  <si>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</si>
  <si>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</si>
  <si>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</si>
  <si>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</si>
  <si>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</si>
  <si>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</si>
  <si>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</si>
  <si>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</si>
  <si>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</si>
  <si>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</si>
  <si>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</si>
  <si>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</si>
  <si>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</si>
  <si>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</si>
  <si>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</si>
  <si>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</si>
  <si>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</si>
  <si>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</si>
  <si>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</si>
  <si>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</si>
  <si>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</si>
  <si>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</si>
  <si>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</si>
  <si>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</si>
  <si>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</si>
  <si>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</si>
  <si>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</si>
  <si>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</si>
  <si>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</si>
  <si>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</si>
  <si>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</si>
  <si>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</si>
  <si>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</si>
  <si>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</si>
  <si>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</si>
  <si>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</si>
  <si>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</si>
  <si>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</si>
  <si>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</si>
  <si>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</si>
  <si>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</si>
  <si>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</si>
  <si>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</si>
  <si>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</si>
  <si>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</si>
  <si>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</si>
  <si>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</si>
  <si>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</si>
  <si>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</si>
  <si>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</si>
  <si>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</si>
  <si>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</si>
  <si>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</si>
  <si>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</si>
  <si>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</si>
  <si>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</si>
  <si>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</si>
  <si>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</si>
  <si>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</si>
  <si>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</si>
  <si>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</si>
  <si>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</si>
  <si>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</si>
  <si>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</si>
  <si>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</si>
  <si>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</si>
  <si>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</si>
  <si>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</si>
  <si>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</si>
  <si>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</si>
  <si>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</si>
  <si>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</si>
  <si>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</si>
  <si>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</si>
  <si>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</si>
  <si>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</si>
  <si>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</si>
  <si>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</si>
  <si>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</si>
  <si>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</si>
  <si>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</si>
  <si>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</si>
  <si>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</si>
  <si>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</si>
  <si>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</si>
  <si>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</si>
  <si>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</si>
  <si>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</si>
  <si>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</si>
  <si>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</si>
  <si>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</si>
  <si>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</si>
  <si>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</si>
  <si>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</si>
  <si>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</si>
  <si>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</si>
  <si>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</si>
  <si>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</si>
  <si>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</si>
  <si>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</si>
  <si>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</si>
  <si>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</si>
  <si>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</si>
  <si>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</si>
  <si>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</si>
  <si>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</si>
  <si>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</si>
  <si>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</si>
  <si>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</si>
  <si>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</si>
  <si>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</si>
  <si>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</si>
  <si>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</si>
  <si>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</si>
  <si>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</si>
  <si>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</si>
  <si>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</si>
  <si>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</si>
  <si>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</si>
  <si>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</si>
  <si>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</si>
  <si>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</si>
  <si>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</si>
  <si>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</si>
  <si>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</si>
  <si>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</si>
  <si>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</si>
  <si>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</si>
  <si>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</si>
  <si>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</si>
  <si>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</si>
  <si>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</si>
  <si>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</si>
  <si>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</si>
  <si>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</si>
  <si>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</si>
  <si>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</si>
  <si>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</si>
  <si>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</si>
  <si>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</si>
  <si>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</si>
  <si>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</si>
  <si>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</si>
  <si>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</si>
  <si>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</si>
  <si>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</si>
  <si>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</si>
  <si>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</si>
  <si>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</si>
  <si>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</si>
  <si>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</si>
  <si>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</si>
  <si>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</si>
  <si>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</si>
  <si>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</si>
  <si>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</si>
  <si>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</si>
  <si>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</si>
  <si>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</si>
  <si>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</si>
  <si>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</si>
  <si>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</si>
  <si>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</si>
  <si>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</si>
  <si>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</si>
  <si>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</si>
  <si>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</si>
  <si>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</si>
  <si>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</si>
  <si>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</si>
  <si>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</si>
  <si>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</si>
  <si>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</si>
  <si>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</si>
  <si>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</si>
  <si>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</si>
  <si>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</si>
  <si>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</si>
  <si>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</si>
  <si>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</si>
  <si>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</si>
  <si>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</si>
  <si>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</si>
  <si>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</si>
  <si>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</si>
  <si>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</si>
  <si>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</si>
  <si>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</si>
  <si>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</si>
  <si>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</si>
  <si>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</si>
  <si>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</si>
  <si>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</si>
  <si>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</si>
  <si>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</si>
  <si>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</si>
  <si>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</si>
  <si>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</si>
  <si>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</si>
  <si>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</si>
  <si>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</si>
  <si>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</si>
  <si>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</si>
  <si>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</si>
  <si>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</si>
  <si>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</si>
  <si>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</si>
  <si>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</si>
  <si>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</si>
  <si>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</si>
  <si>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</si>
  <si>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</si>
  <si>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</si>
  <si>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</si>
  <si>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</si>
  <si>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</si>
  <si>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</si>
  <si>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</si>
  <si>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</si>
  <si>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</si>
  <si>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</si>
  <si>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</si>
  <si>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</si>
  <si>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</si>
  <si>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</si>
  <si>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</si>
  <si>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</si>
  <si>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</si>
  <si>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</si>
  <si>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</si>
  <si>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</si>
  <si>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</si>
  <si>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</si>
  <si>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</si>
  <si>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</si>
  <si>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</si>
  <si>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</si>
  <si>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</si>
  <si>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</si>
  <si>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</si>
  <si>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</si>
  <si>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</si>
  <si>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</si>
  <si>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</si>
  <si>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</si>
  <si>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</si>
  <si>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</si>
  <si>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</si>
  <si>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</si>
  <si>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</si>
  <si>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</si>
  <si>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</si>
  <si>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</si>
  <si>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</si>
  <si>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</si>
  <si>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</si>
  <si>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</si>
  <si>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</si>
  <si>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</si>
  <si>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</si>
  <si>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</si>
  <si>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</si>
  <si>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</si>
  <si>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</si>
  <si>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</si>
  <si>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</si>
  <si>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</si>
  <si>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</si>
  <si>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</si>
  <si>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</si>
  <si>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</si>
  <si>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</si>
  <si>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</si>
  <si>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</si>
  <si>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</si>
  <si>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</si>
  <si>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</si>
  <si>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</si>
  <si>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</si>
  <si>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</si>
  <si>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</si>
  <si>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</si>
  <si>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</si>
  <si>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</si>
  <si>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</si>
  <si>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</si>
  <si>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</si>
  <si>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</si>
  <si>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</si>
  <si>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</si>
  <si>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</si>
  <si>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</si>
  <si>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</si>
  <si>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</si>
  <si>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</si>
  <si>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</si>
  <si>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</si>
  <si>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</si>
  <si>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</si>
  <si>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</si>
  <si>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</si>
  <si>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</si>
  <si>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</si>
  <si>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</si>
  <si>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</si>
  <si>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</si>
  <si>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</si>
  <si>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</si>
  <si>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</si>
  <si>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</si>
  <si>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</si>
  <si>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</si>
  <si>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</si>
  <si>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</si>
  <si>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</si>
  <si>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</si>
  <si>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</si>
  <si>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</si>
  <si>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</si>
  <si>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</si>
  <si>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</si>
  <si>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</si>
  <si>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</si>
  <si>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</si>
  <si>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</si>
  <si>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</si>
  <si>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</si>
  <si>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</si>
  <si>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</si>
  <si>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</si>
  <si>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</si>
  <si>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</si>
  <si>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</si>
  <si>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</si>
  <si>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</si>
  <si>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</si>
  <si>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</si>
  <si>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</si>
  <si>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</si>
  <si>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</si>
  <si>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</si>
  <si>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</si>
  <si>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</si>
  <si>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</si>
  <si>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</si>
  <si>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</si>
  <si>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</si>
  <si>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</si>
  <si>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</si>
  <si>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</si>
  <si>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</si>
  <si>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</si>
  <si>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</si>
  <si>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</si>
  <si>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</si>
  <si>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</si>
  <si>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</si>
  <si>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</si>
  <si>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</si>
  <si>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</si>
  <si>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</si>
  <si>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</si>
  <si>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</si>
  <si>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</si>
  <si>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</si>
  <si>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</si>
  <si>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</si>
  <si>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</si>
  <si>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</si>
  <si>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</si>
  <si>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</si>
  <si>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</si>
  <si>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</si>
  <si>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</si>
  <si>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</si>
  <si>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</si>
  <si>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</si>
  <si>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</si>
  <si>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</si>
  <si>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</si>
  <si>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</si>
  <si>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</si>
  <si>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</si>
  <si>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</si>
  <si>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</si>
  <si>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</si>
  <si>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</si>
  <si>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</si>
  <si>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</si>
  <si>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</si>
  <si>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</si>
  <si>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</si>
  <si>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</si>
  <si>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</si>
  <si>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</si>
  <si>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</si>
  <si>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</si>
  <si>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</si>
  <si>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</si>
  <si>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</si>
  <si>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</si>
  <si>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</si>
  <si>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</si>
  <si>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</si>
  <si>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</si>
  <si>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</si>
  <si>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</si>
  <si>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</si>
  <si>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</si>
  <si>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</si>
  <si>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</si>
  <si>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</si>
  <si>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</si>
  <si>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</si>
  <si>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</si>
  <si>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</si>
  <si>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</si>
  <si>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</si>
  <si>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</si>
  <si>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</si>
  <si>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</si>
  <si>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</si>
  <si>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</si>
  <si>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</si>
  <si>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</si>
  <si>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</si>
  <si>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</si>
  <si>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</si>
  <si>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</si>
  <si>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</si>
  <si>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</si>
  <si>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</si>
  <si>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</si>
  <si>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</si>
  <si>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</si>
  <si>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</si>
  <si>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</si>
  <si>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</si>
  <si>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</si>
  <si>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</si>
  <si>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</si>
  <si>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</si>
  <si>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</si>
  <si>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</si>
  <si>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</si>
  <si>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</si>
  <si>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</si>
  <si>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</si>
  <si>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</si>
  <si>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</si>
  <si>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</si>
  <si>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</si>
  <si>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</si>
  <si>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</si>
  <si>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</si>
  <si>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</si>
  <si>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</si>
  <si>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</si>
  <si>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</si>
  <si>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</si>
  <si>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</si>
  <si>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</si>
  <si>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</si>
  <si>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</si>
  <si>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</si>
  <si>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</si>
  <si>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</si>
  <si>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</si>
  <si>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</si>
  <si>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</si>
  <si>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</si>
  <si>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</si>
  <si>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</si>
  <si>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</si>
  <si>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</si>
  <si>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</si>
  <si>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</si>
  <si>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</si>
  <si>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</si>
  <si>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</si>
  <si>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</si>
  <si>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</si>
  <si>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</si>
  <si>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</si>
  <si>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</si>
  <si>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</si>
  <si>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</si>
  <si>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</si>
  <si>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</si>
  <si>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</si>
  <si>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</si>
  <si>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</si>
  <si>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</si>
  <si>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</si>
  <si>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</si>
  <si>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</si>
  <si>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</si>
  <si>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</si>
  <si>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</si>
  <si>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</si>
  <si>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</si>
  <si>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</si>
  <si>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</si>
  <si>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</si>
  <si>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</si>
  <si>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</si>
  <si>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</si>
  <si>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</si>
  <si>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</si>
  <si>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</si>
  <si>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</si>
  <si>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</si>
  <si>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</si>
  <si>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</si>
  <si>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</si>
  <si>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</si>
  <si>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</si>
  <si>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</si>
  <si>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</si>
  <si>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</si>
  <si>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</si>
  <si>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</si>
  <si>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</si>
  <si>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</si>
  <si>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</si>
  <si>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</si>
  <si>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</si>
  <si>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</si>
  <si>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</si>
  <si>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</si>
  <si>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</si>
  <si>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</si>
  <si>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</si>
  <si>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</si>
  <si>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</si>
  <si>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</si>
  <si>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</si>
  <si>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</si>
  <si>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</si>
  <si>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</si>
  <si>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</si>
  <si>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</si>
  <si>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</si>
  <si>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</si>
  <si>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</si>
  <si>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</si>
  <si>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</si>
  <si>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</si>
  <si>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</si>
  <si>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</si>
  <si>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</si>
  <si>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</si>
  <si>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</si>
  <si>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</si>
  <si>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</si>
  <si>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</si>
  <si>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</si>
  <si>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</si>
  <si>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</si>
  <si>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</si>
  <si>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</si>
  <si>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</si>
  <si>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</si>
  <si>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</si>
  <si>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</si>
  <si>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</si>
  <si>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</si>
  <si>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</si>
  <si>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</si>
  <si>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</si>
  <si>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</si>
  <si>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</si>
  <si>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</si>
  <si>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</si>
  <si>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</si>
  <si>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</si>
  <si>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</si>
  <si>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</si>
  <si>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</si>
  <si>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</si>
  <si>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</si>
  <si>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</si>
  <si>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</si>
  <si>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</si>
  <si>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</si>
  <si>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</si>
  <si>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</si>
  <si>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</si>
  <si>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</si>
  <si>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</si>
  <si>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</si>
  <si>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</si>
  <si>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</si>
  <si>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</si>
  <si>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</si>
  <si>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</si>
  <si>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</si>
  <si>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</si>
  <si>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</si>
  <si>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</si>
  <si>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</si>
  <si>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</si>
  <si>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</si>
  <si>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</si>
  <si>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</si>
  <si>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</si>
  <si>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</si>
  <si>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</si>
  <si>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</si>
  <si>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</si>
  <si>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</si>
  <si>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</si>
  <si>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</si>
  <si>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</si>
  <si>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</si>
  <si>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</si>
  <si>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</si>
  <si>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</si>
  <si>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</si>
  <si>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</si>
  <si>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</si>
  <si>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</si>
  <si>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</si>
  <si>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</si>
  <si>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</si>
  <si>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</si>
  <si>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</si>
  <si>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</si>
  <si>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</si>
  <si>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</si>
  <si>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</si>
  <si>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</si>
  <si>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</si>
  <si>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</si>
  <si>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</si>
  <si>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</si>
  <si>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</si>
  <si>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</si>
  <si>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</si>
  <si>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</si>
  <si>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</si>
  <si>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</si>
  <si>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</si>
  <si>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</si>
  <si>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</si>
  <si>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</si>
  <si>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</si>
  <si>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</si>
  <si>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</si>
  <si>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</si>
  <si>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</si>
  <si>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</si>
  <si>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</si>
  <si>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</si>
  <si>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</si>
  <si>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</si>
  <si>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</si>
  <si>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</si>
  <si>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</si>
  <si>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</si>
  <si>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</si>
  <si>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</si>
  <si>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</si>
  <si>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</si>
  <si>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</si>
  <si>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</si>
  <si>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</si>
  <si>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</si>
  <si>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</si>
  <si>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</si>
  <si>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</si>
  <si>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</si>
  <si>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</si>
  <si>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</si>
  <si>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</si>
  <si>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</si>
  <si>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</si>
  <si>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</si>
  <si>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</si>
  <si>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</si>
  <si>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</si>
  <si>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</si>
  <si>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</si>
  <si>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</si>
  <si>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</si>
  <si>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</si>
  <si>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</si>
  <si>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</si>
  <si>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</si>
  <si>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</si>
  <si>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</si>
  <si>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</si>
  <si>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</si>
  <si>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</si>
  <si>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</si>
  <si>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</si>
  <si>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</si>
  <si>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</si>
  <si>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</si>
  <si>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</si>
  <si>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</si>
  <si>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</si>
  <si>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</si>
  <si>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</si>
  <si>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</si>
  <si>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</si>
  <si>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</si>
  <si>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</si>
  <si>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</si>
  <si>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</si>
  <si>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</si>
  <si>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</si>
  <si>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</si>
  <si>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</si>
  <si>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</si>
  <si>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</si>
  <si>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</si>
  <si>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</si>
  <si>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</si>
  <si>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</si>
  <si>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</si>
  <si>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</si>
  <si>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</si>
  <si>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</si>
  <si>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</si>
  <si>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</si>
  <si>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</si>
  <si>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</si>
  <si>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</si>
  <si>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</si>
  <si>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</si>
  <si>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</si>
  <si>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</si>
  <si>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</si>
  <si>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</si>
  <si>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</si>
  <si>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</si>
  <si>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</si>
  <si>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</si>
  <si>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</si>
  <si>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</si>
  <si>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</si>
  <si>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</si>
  <si>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</si>
  <si>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</si>
  <si>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</si>
  <si>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</si>
  <si>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</si>
  <si>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</si>
  <si>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</si>
  <si>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</si>
  <si>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</si>
  <si>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</si>
  <si>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</si>
  <si>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</si>
  <si>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</si>
  <si>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</si>
  <si>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</si>
  <si>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</si>
  <si>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</si>
  <si>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</si>
  <si>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</si>
  <si>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</si>
  <si>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</si>
  <si>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</si>
  <si>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</si>
  <si>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</si>
  <si>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</si>
  <si>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</si>
  <si>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</si>
  <si>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</si>
  <si>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</si>
  <si>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</si>
  <si>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</si>
  <si>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</si>
  <si>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</si>
  <si>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</si>
  <si>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</si>
  <si>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</si>
  <si>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</si>
  <si>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</si>
  <si>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</si>
  <si>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</si>
  <si>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</si>
  <si>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</si>
  <si>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</si>
  <si>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</si>
  <si>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</si>
  <si>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</si>
  <si>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</si>
  <si>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</si>
  <si>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</si>
  <si>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</si>
  <si>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</si>
  <si>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</si>
  <si>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</si>
  <si>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</si>
  <si>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</si>
  <si>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</si>
  <si>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</si>
  <si>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</si>
  <si>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</si>
  <si>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</si>
  <si>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</si>
  <si>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</si>
  <si>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</si>
  <si>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</si>
  <si>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</si>
  <si>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</si>
  <si>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</si>
  <si>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</si>
  <si>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</si>
  <si>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</si>
  <si>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</si>
  <si>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</si>
  <si>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</si>
  <si>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</si>
  <si>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</si>
  <si>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</si>
  <si>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</si>
  <si>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</si>
  <si>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</si>
  <si>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</si>
  <si>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</si>
  <si>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</si>
  <si>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</si>
  <si>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</si>
  <si>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</si>
  <si>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</si>
  <si>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</si>
  <si>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</si>
  <si>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</si>
  <si>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</si>
  <si>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</si>
  <si>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</si>
  <si>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</si>
  <si>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</si>
  <si>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</si>
  <si>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</si>
  <si>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</si>
  <si>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</si>
  <si>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</si>
  <si>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</si>
  <si>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</si>
  <si>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</si>
  <si>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</si>
  <si>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</si>
  <si>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</si>
  <si>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</si>
  <si>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</si>
  <si>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</si>
  <si>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</si>
  <si>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</si>
  <si>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</si>
  <si>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</si>
  <si>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</si>
  <si>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</si>
  <si>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</si>
  <si>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</si>
  <si>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</si>
  <si>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</si>
  <si>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</si>
  <si>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</si>
  <si>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</si>
  <si>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</si>
  <si>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</si>
  <si>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</si>
  <si>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</si>
  <si>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</si>
  <si>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</si>
  <si>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</si>
  <si>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</si>
  <si>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</si>
  <si>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</si>
  <si>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</si>
  <si>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</si>
  <si>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</si>
  <si>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</si>
  <si>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</si>
  <si>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</si>
  <si>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</si>
  <si>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</si>
  <si>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</si>
  <si>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</si>
  <si>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</si>
  <si>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</si>
  <si>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</si>
  <si>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</si>
  <si>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</si>
  <si>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</si>
  <si>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</si>
  <si>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</si>
  <si>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</si>
  <si>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</si>
  <si>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</si>
  <si>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</si>
  <si>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</si>
  <si>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</si>
  <si>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</si>
  <si>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</si>
  <si>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</si>
  <si>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</si>
  <si>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</si>
  <si>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</si>
  <si>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</si>
  <si>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</si>
  <si>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</si>
  <si>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</si>
  <si>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</si>
  <si>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</si>
  <si>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</si>
  <si>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</si>
  <si>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</si>
  <si>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</si>
  <si>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</si>
  <si>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</si>
  <si>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</si>
  <si>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</si>
  <si>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</si>
  <si>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</si>
  <si>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</si>
  <si>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</si>
  <si>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</si>
  <si>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</si>
  <si>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</si>
  <si>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</si>
  <si>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</si>
  <si>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</si>
  <si>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</si>
  <si>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</si>
  <si>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</si>
  <si>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</si>
  <si>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</si>
  <si>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</si>
  <si>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</si>
  <si>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</si>
  <si>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</si>
  <si>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</si>
  <si>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</si>
  <si>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</si>
  <si>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</si>
  <si>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</si>
  <si>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</si>
  <si>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</si>
  <si>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</si>
  <si>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</si>
  <si>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</si>
  <si>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</si>
  <si>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</si>
  <si>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</si>
  <si>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</si>
  <si>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</si>
  <si>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</si>
  <si>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</si>
  <si>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</si>
  <si>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</si>
  <si>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</si>
  <si>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</si>
  <si>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</si>
  <si>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</si>
  <si>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</si>
  <si>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</si>
  <si>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</si>
  <si>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</si>
  <si>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</si>
  <si>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</si>
  <si>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</si>
  <si>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</si>
  <si>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</si>
  <si>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</si>
  <si>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</si>
  <si>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</si>
  <si>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</si>
  <si>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</si>
  <si>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</si>
  <si>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</si>
  <si>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</si>
  <si>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</si>
  <si>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</si>
  <si>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</si>
  <si>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</si>
  <si>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</si>
  <si>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</si>
  <si>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</si>
  <si>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</si>
  <si>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</si>
  <si>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</si>
  <si>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</si>
  <si>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</si>
  <si>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</si>
  <si>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</si>
  <si>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</si>
  <si>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</si>
  <si>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</si>
  <si>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</si>
  <si>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</si>
  <si>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</si>
  <si>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</si>
  <si>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</si>
  <si>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</si>
  <si>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</si>
  <si>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</si>
  <si>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</si>
  <si>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</si>
  <si>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</si>
  <si>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</si>
  <si>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</si>
  <si>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</si>
  <si>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</si>
  <si>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</si>
  <si>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</si>
  <si>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</si>
  <si>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</si>
  <si>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</si>
  <si>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</si>
  <si>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</si>
  <si>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</si>
  <si>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</si>
  <si>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</si>
  <si>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</si>
  <si>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</si>
  <si>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</si>
  <si>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</si>
  <si>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</si>
  <si>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</si>
  <si>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</si>
  <si>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</si>
  <si>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</si>
  <si>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</si>
  <si>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</si>
  <si>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</si>
  <si>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</si>
  <si>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</si>
  <si>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</si>
  <si>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</si>
  <si>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</si>
  <si>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</si>
  <si>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</si>
  <si>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</si>
  <si>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</si>
  <si>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</si>
  <si>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</si>
  <si>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</si>
  <si>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</si>
  <si>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</si>
  <si>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</si>
  <si>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</si>
  <si>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</si>
  <si>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</si>
  <si>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</si>
  <si>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</si>
  <si>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</si>
  <si>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</si>
  <si>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</si>
  <si>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</si>
  <si>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</si>
  <si>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</si>
  <si>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</si>
  <si>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</si>
  <si>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</si>
  <si>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</si>
  <si>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</si>
  <si>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</si>
  <si>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</si>
  <si>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</si>
  <si>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</si>
  <si>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</si>
  <si>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</si>
  <si>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</si>
  <si>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</si>
  <si>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</si>
  <si>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</si>
  <si>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</si>
  <si>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</si>
  <si>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</si>
  <si>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</si>
  <si>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</si>
  <si>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</si>
  <si>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</si>
  <si>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</si>
  <si>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</si>
  <si>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</si>
  <si>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</si>
  <si>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</si>
  <si>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</si>
  <si>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</si>
  <si>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</si>
  <si>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</si>
  <si>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</si>
  <si>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</si>
  <si>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</si>
  <si>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</si>
  <si>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</si>
  <si>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</si>
  <si>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</si>
  <si>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</si>
  <si>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</si>
  <si>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</si>
  <si>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</si>
  <si>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</si>
  <si>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</si>
  <si>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</si>
  <si>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</si>
  <si>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</si>
  <si>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</si>
  <si>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</si>
  <si>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</si>
  <si>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</si>
  <si>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</si>
  <si>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</si>
  <si>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</si>
  <si>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</si>
  <si>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</si>
  <si>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</si>
  <si>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</si>
  <si>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</si>
  <si>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</si>
  <si>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</si>
  <si>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</si>
  <si>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</si>
  <si>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</si>
  <si>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</si>
  <si>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</si>
  <si>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</si>
  <si>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</si>
  <si>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</si>
  <si>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</si>
  <si>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</si>
  <si>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</si>
  <si>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</si>
  <si>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</si>
  <si>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</si>
  <si>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</si>
  <si>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</si>
  <si>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</si>
  <si>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</si>
  <si>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</si>
  <si>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</si>
  <si>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</si>
  <si>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</si>
  <si>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</si>
  <si>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</si>
  <si>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</si>
  <si>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</si>
  <si>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</si>
  <si>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</si>
  <si>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</si>
  <si>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</si>
  <si>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</si>
  <si>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</si>
  <si>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</si>
  <si>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</si>
  <si>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</si>
  <si>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</si>
  <si>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</si>
  <si>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</si>
  <si>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</si>
  <si>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</si>
  <si>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</si>
  <si>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</si>
  <si>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</si>
  <si>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</si>
  <si>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</si>
  <si>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</si>
  <si>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</si>
  <si>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</si>
  <si>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</si>
  <si>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</si>
  <si>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</si>
  <si>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</si>
  <si>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</si>
  <si>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</si>
  <si>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</si>
  <si>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</si>
  <si>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</si>
  <si>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</si>
  <si>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</si>
  <si>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</si>
  <si>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</si>
  <si>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</si>
  <si>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</si>
  <si>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</si>
  <si>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</si>
  <si>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</si>
  <si>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</si>
  <si>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</si>
  <si>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</si>
  <si>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</si>
  <si>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</si>
  <si>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</si>
  <si>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</si>
  <si>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</si>
  <si>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</si>
  <si>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</si>
  <si>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</si>
  <si>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</si>
  <si>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</si>
  <si>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</si>
  <si>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</si>
  <si>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</si>
  <si>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</si>
  <si>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</si>
  <si>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</si>
  <si>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</si>
  <si>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</si>
  <si>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</si>
  <si>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</si>
  <si>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</si>
  <si>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</si>
  <si>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</si>
  <si>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</si>
  <si>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</si>
  <si>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</si>
  <si>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</si>
  <si>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</si>
  <si>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</si>
  <si>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</si>
  <si>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</si>
  <si>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</si>
  <si>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</si>
  <si>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</si>
  <si>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</si>
  <si>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</si>
  <si>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</si>
  <si>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</si>
  <si>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</si>
  <si>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</si>
  <si>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</si>
  <si>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</si>
  <si>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</si>
  <si>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</si>
  <si>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</si>
  <si>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</si>
  <si>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</si>
  <si>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</si>
  <si>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</si>
  <si>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</si>
  <si>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</si>
  <si>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</si>
  <si>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</si>
  <si>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</si>
  <si>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</si>
  <si>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</si>
  <si>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</si>
  <si>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</si>
  <si>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</si>
  <si>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</si>
  <si>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</si>
  <si>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</si>
  <si>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</si>
  <si>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</si>
  <si>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</si>
  <si>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</si>
  <si>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</si>
  <si>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</si>
  <si>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</si>
  <si>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</si>
  <si>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</si>
  <si>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</si>
  <si>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</si>
  <si>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</si>
  <si>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</si>
  <si>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</si>
  <si>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</si>
  <si>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</si>
  <si>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</si>
  <si>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</si>
  <si>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</si>
  <si>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</si>
  <si>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</si>
  <si>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</si>
  <si>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</si>
  <si>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</si>
  <si>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</si>
  <si>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</si>
  <si>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</si>
  <si>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</si>
  <si>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</si>
  <si>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</si>
  <si>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</si>
  <si>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</si>
  <si>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</si>
  <si>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</si>
  <si>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</si>
  <si>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</si>
  <si>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</si>
  <si>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</si>
  <si>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</si>
  <si>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</si>
  <si>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</si>
  <si>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</si>
  <si>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</si>
  <si>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</si>
  <si>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</si>
  <si>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</si>
  <si>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</si>
  <si>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</si>
  <si>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</si>
  <si>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</si>
  <si>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</si>
  <si>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</si>
  <si>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</si>
  <si>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</si>
  <si>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</si>
  <si>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</si>
  <si>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</si>
  <si>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</si>
  <si>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</si>
  <si>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</si>
  <si>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</si>
  <si>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</si>
  <si>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</si>
  <si>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</si>
  <si>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</si>
  <si>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</si>
  <si>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</si>
  <si>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</si>
  <si>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</si>
  <si>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</si>
  <si>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</si>
  <si>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</si>
  <si>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</si>
  <si>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</si>
  <si>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</si>
  <si>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</si>
  <si>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</si>
  <si>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</si>
  <si>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</si>
  <si>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</si>
  <si>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</si>
  <si>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</si>
  <si>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</si>
  <si>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</si>
  <si>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</si>
  <si>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</si>
  <si>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</si>
  <si>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</si>
  <si>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</si>
  <si>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</si>
  <si>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</si>
  <si>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</si>
  <si>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</si>
  <si>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</si>
  <si>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</si>
  <si>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</si>
  <si>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</si>
  <si>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</si>
  <si>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</si>
  <si>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</si>
  <si>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</si>
  <si>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</si>
  <si>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</si>
  <si>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</si>
  <si>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</si>
  <si>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</si>
  <si>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</si>
  <si>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</si>
  <si>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</si>
  <si>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</si>
  <si>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</si>
  <si>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</si>
  <si>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</si>
  <si>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</si>
  <si>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</si>
  <si>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</si>
  <si>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</si>
  <si>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</si>
  <si>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</si>
  <si>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</si>
  <si>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</si>
  <si>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</si>
  <si>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</si>
  <si>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</si>
  <si>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</si>
  <si>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</si>
  <si>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</si>
  <si>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</si>
  <si>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</si>
  <si>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</si>
  <si>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</si>
  <si>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</si>
  <si>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</si>
  <si>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</si>
  <si>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</si>
  <si>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</si>
  <si>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</si>
  <si>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</si>
  <si>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</si>
  <si>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</si>
  <si>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</si>
  <si>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</si>
  <si>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</si>
  <si>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</si>
  <si>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</si>
  <si>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</si>
  <si>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</si>
  <si>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</si>
  <si>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</si>
  <si>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</si>
  <si>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</si>
  <si>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</si>
  <si>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</si>
  <si>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</si>
  <si>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</si>
  <si>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</si>
  <si>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</si>
  <si>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</si>
  <si>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</si>
  <si>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</si>
  <si>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</si>
  <si>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</si>
  <si>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</si>
  <si>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</si>
  <si>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</si>
  <si>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</si>
  <si>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</si>
  <si>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</si>
  <si>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</si>
  <si>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</si>
  <si>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</si>
  <si>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</si>
  <si>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</si>
  <si>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</si>
  <si>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</si>
  <si>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</si>
  <si>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</si>
  <si>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</si>
  <si>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</si>
  <si>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</si>
  <si>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</si>
  <si>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</si>
  <si>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</si>
  <si>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</si>
  <si>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</si>
  <si>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</si>
  <si>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</si>
  <si>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</si>
  <si>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</si>
  <si>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</si>
  <si>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</si>
  <si>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</si>
  <si>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</si>
  <si>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</si>
  <si>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</si>
  <si>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</si>
  <si>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</si>
  <si>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</si>
  <si>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</si>
  <si>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</si>
  <si>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</si>
  <si>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</si>
  <si>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</si>
  <si>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</si>
  <si>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</si>
  <si>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</si>
  <si>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</si>
  <si>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</si>
  <si>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</si>
  <si>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</si>
  <si>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</si>
  <si>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</si>
  <si>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</si>
  <si>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</si>
  <si>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</si>
  <si>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</si>
  <si>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</si>
  <si>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</si>
  <si>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</si>
  <si>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</si>
  <si>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</si>
  <si>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</si>
  <si>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</si>
  <si>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</si>
  <si>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</si>
  <si>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</si>
  <si>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</si>
  <si>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</si>
  <si>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</si>
  <si>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</si>
  <si>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</si>
  <si>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</si>
  <si>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</si>
  <si>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</si>
  <si>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</si>
  <si>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</si>
  <si>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</si>
  <si>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</si>
  <si>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</si>
  <si>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</si>
  <si>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</si>
  <si>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</si>
  <si>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</si>
  <si>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</si>
  <si>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</si>
  <si>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</si>
  <si>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</si>
  <si>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</si>
  <si>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</si>
  <si>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</si>
  <si>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</si>
  <si>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</si>
  <si>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</si>
  <si>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</si>
  <si>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</si>
  <si>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</si>
  <si>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</si>
  <si>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</si>
  <si>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</si>
  <si>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</si>
  <si>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</si>
  <si>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</si>
  <si>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</si>
  <si>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</si>
  <si>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</si>
  <si>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</si>
  <si>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</si>
  <si>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</si>
  <si>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</si>
  <si>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</si>
  <si>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</si>
  <si>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</si>
  <si>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</si>
  <si>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</si>
  <si>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</si>
  <si>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</si>
  <si>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</si>
  <si>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</si>
  <si>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</si>
  <si>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</si>
  <si>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</si>
  <si>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</si>
  <si>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</si>
  <si>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</si>
  <si>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</si>
  <si>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</si>
  <si>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</si>
  <si>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</si>
  <si>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</si>
  <si>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</si>
  <si>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</si>
  <si>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</si>
  <si>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</si>
  <si>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</si>
  <si>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</si>
  <si>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</si>
  <si>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</si>
  <si>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</si>
  <si>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</si>
  <si>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</si>
  <si>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</si>
  <si>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</si>
  <si>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</si>
  <si>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</si>
  <si>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</si>
  <si>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</si>
  <si>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</si>
  <si>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</si>
  <si>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</si>
  <si>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</si>
  <si>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</si>
  <si>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</si>
  <si>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</si>
  <si>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</si>
  <si>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</si>
  <si>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</si>
  <si>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</si>
  <si>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</si>
  <si>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</si>
  <si>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</si>
  <si>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</si>
  <si>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</si>
  <si>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</si>
  <si>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</si>
  <si>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</si>
  <si>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</si>
  <si>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</si>
  <si>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</si>
  <si>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</si>
  <si>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</si>
  <si>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</si>
  <si>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</si>
  <si>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</si>
  <si>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</si>
  <si>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</si>
  <si>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</si>
  <si>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</si>
  <si>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</si>
  <si>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</si>
  <si>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</si>
  <si>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</si>
  <si>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</si>
  <si>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</si>
  <si>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</si>
  <si>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</si>
  <si>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</si>
  <si>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</si>
  <si>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</si>
  <si>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</si>
  <si>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</si>
  <si>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</si>
  <si>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</si>
  <si>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</si>
  <si>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</si>
  <si>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</si>
  <si>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</si>
  <si>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</si>
  <si>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</si>
  <si>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</si>
  <si>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</si>
  <si>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</si>
  <si>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</si>
  <si>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</si>
  <si>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</si>
  <si>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</si>
  <si>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</si>
  <si>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</si>
  <si>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</si>
  <si>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</si>
  <si>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</si>
  <si>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</si>
  <si>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</si>
  <si>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</si>
  <si>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</si>
  <si>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</si>
  <si>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</si>
  <si>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</si>
  <si>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</si>
  <si>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</si>
  <si>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</si>
  <si>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</si>
  <si>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</si>
  <si>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</si>
  <si>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</si>
  <si>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</si>
  <si>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</si>
  <si>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</si>
  <si>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</si>
  <si>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</si>
  <si>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</si>
  <si>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</si>
  <si>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</si>
  <si>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</si>
  <si>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</si>
  <si>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</si>
  <si>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</si>
  <si>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</si>
  <si>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</si>
  <si>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</si>
  <si>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</si>
  <si>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</si>
  <si>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</si>
  <si>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</si>
  <si>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</si>
  <si>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</si>
  <si>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</si>
  <si>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</si>
  <si>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</si>
  <si>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</si>
  <si>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</si>
  <si>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</si>
  <si>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</si>
  <si>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</si>
  <si>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</si>
  <si>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</si>
  <si>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</si>
  <si>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</si>
  <si>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</si>
  <si>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</si>
  <si>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</si>
  <si>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</si>
  <si>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</si>
  <si>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</si>
  <si>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</si>
  <si>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</si>
  <si>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</si>
  <si>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</si>
  <si>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</si>
  <si>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</si>
  <si>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</si>
  <si>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</si>
  <si>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</si>
  <si>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</si>
  <si>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</si>
  <si>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</si>
  <si>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</si>
  <si>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</si>
  <si>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</si>
  <si>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</si>
  <si>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</si>
  <si>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</si>
  <si>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</si>
  <si>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</si>
  <si>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</si>
  <si>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</si>
  <si>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</si>
  <si>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</si>
  <si>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</si>
  <si>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</si>
  <si>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</si>
  <si>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</si>
  <si>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</si>
  <si>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</si>
  <si>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</si>
  <si>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</si>
  <si>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</si>
  <si>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</si>
  <si>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</si>
  <si>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</si>
  <si>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</si>
  <si>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</si>
  <si>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</si>
  <si>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</si>
  <si>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</si>
  <si>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</si>
  <si>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</si>
  <si>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</si>
  <si>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</si>
  <si>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</si>
  <si>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</si>
  <si>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</si>
  <si>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</si>
  <si>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</si>
  <si>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</si>
  <si>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</si>
  <si>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</si>
  <si>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</si>
  <si>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</si>
  <si>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</si>
  <si>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</si>
  <si>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</si>
  <si>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</si>
  <si>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</si>
  <si>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</si>
  <si>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</si>
  <si>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</si>
  <si>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</si>
  <si>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</si>
  <si>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</si>
  <si>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</si>
  <si>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</si>
  <si>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</si>
  <si>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</si>
  <si>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</si>
  <si>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</si>
  <si>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</si>
  <si>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</si>
  <si>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</si>
  <si>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</si>
  <si>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</si>
  <si>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</si>
  <si>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</si>
  <si>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</si>
  <si>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</si>
  <si>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</si>
  <si>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</si>
  <si>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</si>
  <si>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</si>
  <si>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</si>
  <si>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</si>
  <si>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</si>
  <si>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</si>
  <si>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</si>
  <si>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</si>
  <si>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</si>
  <si>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</si>
  <si>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</si>
  <si>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</si>
  <si>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</si>
  <si>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</si>
  <si>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</si>
  <si>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</si>
  <si>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</si>
  <si>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</si>
  <si>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</si>
  <si>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</si>
  <si>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</si>
  <si>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</si>
  <si>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</si>
  <si>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</si>
  <si>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</si>
  <si>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</si>
  <si>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</si>
  <si>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</si>
  <si>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</si>
  <si>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</si>
  <si>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</si>
  <si>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</si>
  <si>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</si>
  <si>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</si>
  <si>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</si>
  <si>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</si>
  <si>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</si>
  <si>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</si>
  <si>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</si>
  <si>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</si>
  <si>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</si>
  <si>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</si>
  <si>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</si>
  <si>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</si>
  <si>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</si>
  <si>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</si>
  <si>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</si>
  <si>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</si>
  <si>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</si>
  <si>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</si>
  <si>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</si>
  <si>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</si>
  <si>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</si>
  <si>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</si>
  <si>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</si>
  <si>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</si>
  <si>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</si>
  <si>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</si>
  <si>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</si>
  <si>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</si>
  <si>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</si>
  <si>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</si>
  <si>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</si>
  <si>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</si>
  <si>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</si>
  <si>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</si>
  <si>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</si>
  <si>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</si>
  <si>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</si>
  <si>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</si>
  <si>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</si>
  <si>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</si>
  <si>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</si>
  <si>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</si>
  <si>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</si>
  <si>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</si>
  <si>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</si>
  <si>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</si>
  <si>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</si>
  <si>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</si>
  <si>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</si>
  <si>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</si>
  <si>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</si>
  <si>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</si>
  <si>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</si>
  <si>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</si>
  <si>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</si>
  <si>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</si>
  <si>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</si>
  <si>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</si>
  <si>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</si>
  <si>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</si>
  <si>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</si>
  <si>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</si>
  <si>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</si>
  <si>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</si>
  <si>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</si>
  <si>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</si>
  <si>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</si>
  <si>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</si>
  <si>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</si>
  <si>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</si>
  <si>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</si>
  <si>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</si>
  <si>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</si>
  <si>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</si>
  <si>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</si>
  <si>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</si>
  <si>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</si>
  <si>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</si>
  <si>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</si>
  <si>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</si>
  <si>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</si>
  <si>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</si>
  <si>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</si>
  <si>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</si>
  <si>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</si>
  <si>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</si>
  <si>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</si>
  <si>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</si>
  <si>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</si>
  <si>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</si>
  <si>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</si>
  <si>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</si>
  <si>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</si>
  <si>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</si>
  <si>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</si>
  <si>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</si>
  <si>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</si>
  <si>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</si>
  <si>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</si>
  <si>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</si>
  <si>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</si>
  <si>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</si>
  <si>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</si>
  <si>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</si>
  <si>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</si>
  <si>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</si>
  <si>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</si>
  <si>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</si>
  <si>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</si>
  <si>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</si>
  <si>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</si>
  <si>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</si>
  <si>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</si>
  <si>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</si>
  <si>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</si>
  <si>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</si>
  <si>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</si>
  <si>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</si>
  <si>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</si>
  <si>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</si>
  <si>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</si>
  <si>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</si>
  <si>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</si>
  <si>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</si>
  <si>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</si>
  <si>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</si>
  <si>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</si>
  <si>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</si>
  <si>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</si>
  <si>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</si>
  <si>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</si>
  <si>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</si>
  <si>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</si>
  <si>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</si>
  <si>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</si>
  <si>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</si>
  <si>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</si>
  <si>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</si>
  <si>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</si>
  <si>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</si>
  <si>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</si>
  <si>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</si>
  <si>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</si>
  <si>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</si>
  <si>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</si>
  <si>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</si>
  <si>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</si>
  <si>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</si>
  <si>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</si>
  <si>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</si>
  <si>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</si>
  <si>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</si>
  <si>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</si>
  <si>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</si>
  <si>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</si>
  <si>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</si>
  <si>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</si>
  <si>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</si>
  <si>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</si>
  <si>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</si>
  <si>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</si>
  <si>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</si>
  <si>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</si>
  <si>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</si>
  <si>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</si>
  <si>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</si>
  <si>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</si>
  <si>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</si>
  <si>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</si>
  <si>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</si>
  <si>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</si>
  <si>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</si>
  <si>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</si>
  <si>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</si>
  <si>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</si>
  <si>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</si>
  <si>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</si>
  <si>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</si>
  <si>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</si>
  <si>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</si>
  <si>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</si>
  <si>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</si>
  <si>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</si>
  <si>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</si>
  <si>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</si>
  <si>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</si>
  <si>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</si>
  <si>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</si>
  <si>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</si>
  <si>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</si>
  <si>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</si>
  <si>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</si>
  <si>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</si>
  <si>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</si>
  <si>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</si>
  <si>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</si>
  <si>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</si>
  <si>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</si>
  <si>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</si>
  <si>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</si>
  <si>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</si>
  <si>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</si>
  <si>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</si>
  <si>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</si>
  <si>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</si>
  <si>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</si>
  <si>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</si>
  <si>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</si>
  <si>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</si>
  <si>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</si>
  <si>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</si>
  <si>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</si>
  <si>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</si>
  <si>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</si>
  <si>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</si>
  <si>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</si>
  <si>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</si>
  <si>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</si>
  <si>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</si>
  <si>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</si>
  <si>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</si>
  <si>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</si>
  <si>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</si>
  <si>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</si>
  <si>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</si>
  <si>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</si>
  <si>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</si>
  <si>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</si>
  <si>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</si>
  <si>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</si>
  <si>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</si>
  <si>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</si>
  <si>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</si>
  <si>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</si>
  <si>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</si>
  <si>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</si>
  <si>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</si>
  <si>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</si>
  <si>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</si>
  <si>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</si>
  <si>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</si>
  <si>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</si>
  <si>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</si>
  <si>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</si>
  <si>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</si>
  <si>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</si>
  <si>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</si>
  <si>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</si>
  <si>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</si>
  <si>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</si>
  <si>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</si>
  <si>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</si>
  <si>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</si>
  <si>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</si>
  <si>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</si>
  <si>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</si>
  <si>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</si>
  <si>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</si>
  <si>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</si>
  <si>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</si>
  <si>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</si>
  <si>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</si>
  <si>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</si>
  <si>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</si>
  <si>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</si>
  <si>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</si>
  <si>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</si>
  <si>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</si>
  <si>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</si>
  <si>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</si>
  <si>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</si>
  <si>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</si>
  <si>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</si>
  <si>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</si>
  <si>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</si>
  <si>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</si>
  <si>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</si>
  <si>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</si>
  <si>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</si>
  <si>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</si>
  <si>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</si>
  <si>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</si>
  <si>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</si>
  <si>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</si>
  <si>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</si>
  <si>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</si>
  <si>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</si>
  <si>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</si>
  <si>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</si>
  <si>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</si>
  <si>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</si>
  <si>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</si>
  <si>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</si>
  <si>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</si>
  <si>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</si>
  <si>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</si>
  <si>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</si>
  <si>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</si>
  <si>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</si>
  <si>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</si>
  <si>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</si>
  <si>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</si>
  <si>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</si>
  <si>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</si>
  <si>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</si>
  <si>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</si>
  <si>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</si>
  <si>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</si>
  <si>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</si>
  <si>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</si>
  <si>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</si>
  <si>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</si>
  <si>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</si>
  <si>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</si>
  <si>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</si>
  <si>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</si>
  <si>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</si>
  <si>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</si>
  <si>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</si>
  <si>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</si>
  <si>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</si>
  <si>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</si>
  <si>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</si>
  <si>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</si>
  <si>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</si>
  <si>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</si>
  <si>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</si>
  <si>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</si>
  <si>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</si>
  <si>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</si>
  <si>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</si>
  <si>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</si>
  <si>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</si>
  <si>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</si>
  <si>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</si>
  <si>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</si>
  <si>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</si>
  <si>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</si>
  <si>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</si>
  <si>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</si>
  <si>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</si>
  <si>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</si>
  <si>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</si>
  <si>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</si>
  <si>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</si>
  <si>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</si>
  <si>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</si>
  <si>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</si>
  <si>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</si>
  <si>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</si>
  <si>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</si>
  <si>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</si>
  <si>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</si>
  <si>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</si>
  <si>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</si>
  <si>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</si>
  <si>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</si>
  <si>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</si>
  <si>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</si>
  <si>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</si>
  <si>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</si>
  <si>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</si>
  <si>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</si>
  <si>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</si>
  <si>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</si>
  <si>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</si>
  <si>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</si>
  <si>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</si>
  <si>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</si>
  <si>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</si>
  <si>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</si>
  <si>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</si>
  <si>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</si>
  <si>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</si>
  <si>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</si>
  <si>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</si>
  <si>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</si>
  <si>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</si>
  <si>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</si>
  <si>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</si>
  <si>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</si>
  <si>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</si>
  <si>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</si>
  <si>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</si>
  <si>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</si>
  <si>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</si>
  <si>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</si>
  <si>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</si>
  <si>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</si>
  <si>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</si>
  <si>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</si>
  <si>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</si>
  <si>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</si>
  <si>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</si>
  <si>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</si>
  <si>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</si>
  <si>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</si>
  <si>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</si>
  <si>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</si>
  <si>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</si>
  <si>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</si>
  <si>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</si>
  <si>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</si>
  <si>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</si>
  <si>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</si>
  <si>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</si>
  <si>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</si>
  <si>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</si>
  <si>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</si>
  <si>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</si>
  <si>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</si>
  <si>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</si>
  <si>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</si>
  <si>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</si>
  <si>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</si>
  <si>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</si>
  <si>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</si>
  <si>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</si>
  <si>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</si>
  <si>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</si>
  <si>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</si>
  <si>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</si>
  <si>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</si>
  <si>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</si>
  <si>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</si>
  <si>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</si>
  <si>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</si>
  <si>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</si>
  <si>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</si>
  <si>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</si>
  <si>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</si>
  <si>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</si>
  <si>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</si>
  <si>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</si>
  <si>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</si>
  <si>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</si>
  <si>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</si>
  <si>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</si>
  <si>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</si>
  <si>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</si>
  <si>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</si>
  <si>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</si>
  <si>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</si>
  <si>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</si>
  <si>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</si>
  <si>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</si>
  <si>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</si>
  <si>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</si>
  <si>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</si>
  <si>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</si>
  <si>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</si>
  <si>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</si>
  <si>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</si>
  <si>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</si>
  <si>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</si>
  <si>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</si>
  <si>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</si>
  <si>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</si>
  <si>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</si>
  <si>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</si>
  <si>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</si>
  <si>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</si>
  <si>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</si>
  <si>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</si>
  <si>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</si>
  <si>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</si>
  <si>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</si>
  <si>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</si>
  <si>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</si>
  <si>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</si>
  <si>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</si>
  <si>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</si>
  <si>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</si>
  <si>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</si>
  <si>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</si>
  <si>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</si>
  <si>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</si>
  <si>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</si>
  <si>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</si>
  <si>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</si>
  <si>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</si>
  <si>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</si>
  <si>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</si>
  <si>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</si>
  <si>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</si>
  <si>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</si>
  <si>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</si>
  <si>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</si>
  <si>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</si>
  <si>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</si>
  <si>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</si>
  <si>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</si>
  <si>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</si>
  <si>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</si>
  <si>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</si>
  <si>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</si>
  <si>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</si>
  <si>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</si>
  <si>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</si>
  <si>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</si>
  <si>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</si>
  <si>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</si>
  <si>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</si>
  <si>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</si>
  <si>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</si>
  <si>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</si>
  <si>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</si>
  <si>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</si>
  <si>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</si>
  <si>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</si>
  <si>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</si>
  <si>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</si>
  <si>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</si>
  <si>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</si>
  <si>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</si>
  <si>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</si>
  <si>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</si>
  <si>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</si>
  <si>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</si>
  <si>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</si>
  <si>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</si>
  <si>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</si>
  <si>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</si>
  <si>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</si>
  <si>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</si>
  <si>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</si>
  <si>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</si>
  <si>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</si>
  <si>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</si>
  <si>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</si>
  <si>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</si>
  <si>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</si>
  <si>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</si>
  <si>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</si>
  <si>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</si>
  <si>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</si>
  <si>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</si>
  <si>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</si>
  <si>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</si>
  <si>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</si>
  <si>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</si>
  <si>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</si>
  <si>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</si>
  <si>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</si>
  <si>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</si>
  <si>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</si>
  <si>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</si>
  <si>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</si>
  <si>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</si>
  <si>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</si>
  <si>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</si>
  <si>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</si>
  <si>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</si>
  <si>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</si>
  <si>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</si>
  <si>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</si>
  <si>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</si>
  <si>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</si>
  <si>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</si>
  <si>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</si>
  <si>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</si>
  <si>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</si>
  <si>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</si>
  <si>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</si>
  <si>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</si>
  <si>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</si>
  <si>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</si>
  <si>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</si>
  <si>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</si>
  <si>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</si>
  <si>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</si>
  <si>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</si>
  <si>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</si>
  <si>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</si>
  <si>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</si>
  <si>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</si>
  <si>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</si>
  <si>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</si>
  <si>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</si>
  <si>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</si>
  <si>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</si>
  <si>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</si>
  <si>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</si>
  <si>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</si>
  <si>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</si>
  <si>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</si>
  <si>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</si>
  <si>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</si>
  <si>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</si>
  <si>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</si>
  <si>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</si>
  <si>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</si>
  <si>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</si>
  <si>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</si>
  <si>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</si>
  <si>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</si>
  <si>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</si>
  <si>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</si>
  <si>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</si>
  <si>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</si>
  <si>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</si>
  <si>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</si>
  <si>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</si>
  <si>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</si>
  <si>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</si>
  <si>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</si>
  <si>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</si>
  <si>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</si>
  <si>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</si>
  <si>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</si>
  <si>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</si>
  <si>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</si>
  <si>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</si>
  <si>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</si>
  <si>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</si>
  <si>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</si>
  <si>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</si>
  <si>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</si>
  <si>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</si>
  <si>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</si>
  <si>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</si>
  <si>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</si>
  <si>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</si>
  <si>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</si>
  <si>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</si>
  <si>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</si>
  <si>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</si>
  <si>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</si>
  <si>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</si>
  <si>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</si>
  <si>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</si>
  <si>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</si>
  <si>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</si>
  <si>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</si>
  <si>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</si>
  <si>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</si>
  <si>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</si>
  <si>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</si>
  <si>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</si>
  <si>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</si>
  <si>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</si>
  <si>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</si>
  <si>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</si>
  <si>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</si>
  <si>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</si>
  <si>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</si>
  <si>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</si>
  <si>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</si>
  <si>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</si>
  <si>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</si>
  <si>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</si>
  <si>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</si>
  <si>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</si>
  <si>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</si>
  <si>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</si>
  <si>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</si>
  <si>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</si>
  <si>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</si>
  <si>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</si>
  <si>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</si>
  <si>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</si>
  <si>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</si>
  <si>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</si>
  <si>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</si>
  <si>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</si>
  <si>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</si>
  <si>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</si>
  <si>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</si>
  <si>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</si>
  <si>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</si>
  <si>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</si>
  <si>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</si>
  <si>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</si>
  <si>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</si>
  <si>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</si>
  <si>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</si>
  <si>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</si>
  <si>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</si>
  <si>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</si>
  <si>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</si>
  <si>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</si>
  <si>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</si>
  <si>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</si>
  <si>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</si>
  <si>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</si>
  <si>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</si>
  <si>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</si>
  <si>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</si>
  <si>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</si>
  <si>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</si>
  <si>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</si>
  <si>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</si>
  <si>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</si>
  <si>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</si>
  <si>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</si>
  <si>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</si>
  <si>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</si>
  <si>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</si>
  <si>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</si>
  <si>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</si>
  <si>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</si>
  <si>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</si>
  <si>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</si>
  <si>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</si>
  <si>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</si>
  <si>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</si>
  <si>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</si>
  <si>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</si>
  <si>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</si>
  <si>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</si>
  <si>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</si>
  <si>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</si>
  <si>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</si>
  <si>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</si>
  <si>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</si>
  <si>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</si>
  <si>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</si>
  <si>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</si>
  <si>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</si>
  <si>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</si>
  <si>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</si>
  <si>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</si>
  <si>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</si>
  <si>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</si>
  <si>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</si>
  <si>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</si>
  <si>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</si>
  <si>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</si>
  <si>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</si>
  <si>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</si>
  <si>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</si>
  <si>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</si>
  <si>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</si>
  <si>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</si>
  <si>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</si>
  <si>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</si>
  <si>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</si>
  <si>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</si>
  <si>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</si>
  <si>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</si>
  <si>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</si>
  <si>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</si>
  <si>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</si>
  <si>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</si>
  <si>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</si>
  <si>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</si>
  <si>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</si>
  <si>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</si>
  <si>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</si>
  <si>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</si>
  <si>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</si>
  <si>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</si>
  <si>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</si>
  <si>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</si>
  <si>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</si>
  <si>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</si>
  <si>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</si>
  <si>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</si>
  <si>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</si>
  <si>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</si>
  <si>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</si>
  <si>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</si>
  <si>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</si>
  <si>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</si>
  <si>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</si>
  <si>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</si>
  <si>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</si>
  <si>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</si>
  <si>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</si>
  <si>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</si>
  <si>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</si>
  <si>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</si>
  <si>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</si>
  <si>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</si>
  <si>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</si>
  <si>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</si>
  <si>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</si>
  <si>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</si>
  <si>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</si>
  <si>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</si>
  <si>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</si>
  <si>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</si>
  <si>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</si>
  <si>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</si>
  <si>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</si>
  <si>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</si>
  <si>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</si>
  <si>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</si>
  <si>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</si>
  <si>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</si>
  <si>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</si>
  <si>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</si>
  <si>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</si>
  <si>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</si>
  <si>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</si>
  <si>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</si>
  <si>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</si>
  <si>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</si>
  <si>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</si>
  <si>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</si>
  <si>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</si>
  <si>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</si>
  <si>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</si>
  <si>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</si>
  <si>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</si>
  <si>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</si>
  <si>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</si>
  <si>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</si>
  <si>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</si>
  <si>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</si>
  <si>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</si>
  <si>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</si>
  <si>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</si>
  <si>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</si>
  <si>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</si>
  <si>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</si>
  <si>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</si>
  <si>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</si>
  <si>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</si>
  <si>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</si>
  <si>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</si>
  <si>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</si>
  <si>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</si>
  <si>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</si>
  <si>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</si>
  <si>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</si>
  <si>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</si>
  <si>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</si>
  <si>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</si>
  <si>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</si>
  <si>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</si>
  <si>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</si>
  <si>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</si>
  <si>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</si>
  <si>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</si>
  <si>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</si>
  <si>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</si>
  <si>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</si>
  <si>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</si>
  <si>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</si>
  <si>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</si>
  <si>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</si>
  <si>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</si>
  <si>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</si>
  <si>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</si>
  <si>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</si>
  <si>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</si>
  <si>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</si>
  <si>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</si>
  <si>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</si>
  <si>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</si>
  <si>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</si>
  <si>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</si>
  <si>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</si>
  <si>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</si>
  <si>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</si>
  <si>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</si>
  <si>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</si>
  <si>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</si>
  <si>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</si>
  <si>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</si>
  <si>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</si>
  <si>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</si>
  <si>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</si>
  <si>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</si>
  <si>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</si>
  <si>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</si>
  <si>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</si>
  <si>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</si>
  <si>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</si>
  <si>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</si>
  <si>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</si>
  <si>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</si>
  <si>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</si>
  <si>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</si>
  <si>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</si>
  <si>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</si>
  <si>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</si>
  <si>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</si>
  <si>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</si>
  <si>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</si>
  <si>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</si>
  <si>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</si>
  <si>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</si>
  <si>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</si>
  <si>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</si>
  <si>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</si>
  <si>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</si>
  <si>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</si>
  <si>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</si>
  <si>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</si>
  <si>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</si>
  <si>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</si>
  <si>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</si>
  <si>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</si>
  <si>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</si>
  <si>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</si>
  <si>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</si>
  <si>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</si>
  <si>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</si>
  <si>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</si>
  <si>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</si>
  <si>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</si>
  <si>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</si>
  <si>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</si>
  <si>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</si>
  <si>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</si>
  <si>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</si>
  <si>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</si>
  <si>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</si>
  <si>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</si>
  <si>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</si>
  <si>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</si>
  <si>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</si>
  <si>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</si>
  <si>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</si>
  <si>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</si>
  <si>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</si>
  <si>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</si>
  <si>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</si>
  <si>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</si>
  <si>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</si>
  <si>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</si>
  <si>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</si>
  <si>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</si>
  <si>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</si>
  <si>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</si>
  <si>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</si>
  <si>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</si>
  <si>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</si>
  <si>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</si>
  <si>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</si>
  <si>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</si>
  <si>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</si>
  <si>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</si>
  <si>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</si>
  <si>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</si>
  <si>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</si>
  <si>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</si>
  <si>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</si>
  <si>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</si>
  <si>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</si>
  <si>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</si>
  <si>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</si>
  <si>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</si>
  <si>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</si>
  <si>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</si>
  <si>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</si>
  <si>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</si>
  <si>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</si>
  <si>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</si>
  <si>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</si>
  <si>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</si>
  <si>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</si>
  <si>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</si>
  <si>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</si>
  <si>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</si>
  <si>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</si>
  <si>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</si>
  <si>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</si>
  <si>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</si>
  <si>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</si>
  <si>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</si>
  <si>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</si>
  <si>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</si>
  <si>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</si>
  <si>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</si>
  <si>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</si>
  <si>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</si>
  <si>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</si>
  <si>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</si>
  <si>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</si>
  <si>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</si>
  <si>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</si>
  <si>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</si>
  <si>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</si>
  <si>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</si>
  <si>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</si>
  <si>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</si>
  <si>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</si>
  <si>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</si>
  <si>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</si>
  <si>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</si>
  <si>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</si>
  <si>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</si>
  <si>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</si>
  <si>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</si>
  <si>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</si>
  <si>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</si>
  <si>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</si>
  <si>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</si>
  <si>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</si>
  <si>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</si>
  <si>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</si>
  <si>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</si>
  <si>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</si>
  <si>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</si>
  <si>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</si>
  <si>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</si>
  <si>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</si>
  <si>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</si>
  <si>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</si>
  <si>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</si>
  <si>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</si>
  <si>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</si>
  <si>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</si>
  <si>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</si>
  <si>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</si>
  <si>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</si>
  <si>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</si>
  <si>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</si>
  <si>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</si>
  <si>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</si>
  <si>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</si>
  <si>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</si>
  <si>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</si>
  <si>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</si>
  <si>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</si>
  <si>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</si>
  <si>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</si>
  <si>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</si>
  <si>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</si>
  <si>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</si>
  <si>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</si>
  <si>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</si>
  <si>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</si>
  <si>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</si>
  <si>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</si>
  <si>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</si>
  <si>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</si>
  <si>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</si>
  <si>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</si>
  <si>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</si>
  <si>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</si>
  <si>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</si>
  <si>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</si>
  <si>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</si>
  <si>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</si>
  <si>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</si>
  <si>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</si>
  <si>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</si>
  <si>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</si>
  <si>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</si>
  <si>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</si>
  <si>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</si>
  <si>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</si>
  <si>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</si>
  <si>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</si>
  <si>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</si>
  <si>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</si>
  <si>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</si>
  <si>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</si>
  <si>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</si>
  <si>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</si>
  <si>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</si>
  <si>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</si>
  <si>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</si>
  <si>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</si>
  <si>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</si>
  <si>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</si>
  <si>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</si>
  <si>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</si>
  <si>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</si>
  <si>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</si>
  <si>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</si>
  <si>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</si>
  <si>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</si>
  <si>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</si>
  <si>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</si>
  <si>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</si>
  <si>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</si>
  <si>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</si>
  <si>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</si>
  <si>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</si>
  <si>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</si>
  <si>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</si>
  <si>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</si>
  <si>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</si>
  <si>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</si>
  <si>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</si>
  <si>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</si>
  <si>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</si>
  <si>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</si>
  <si>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</si>
  <si>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</si>
  <si>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</si>
  <si>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</si>
  <si>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</si>
  <si>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</si>
  <si>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</si>
  <si>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</si>
  <si>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</si>
  <si>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</si>
  <si>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</si>
  <si>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</si>
  <si>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</si>
  <si>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</si>
  <si>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</si>
  <si>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</si>
  <si>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</si>
  <si>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</si>
  <si>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</si>
  <si>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</si>
  <si>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</si>
  <si>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</si>
  <si>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</si>
  <si>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</si>
  <si>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</si>
  <si>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</si>
  <si>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</si>
  <si>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</si>
  <si>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</si>
  <si>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</si>
  <si>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</si>
  <si>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</si>
  <si>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</si>
  <si>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</si>
  <si>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</si>
  <si>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</si>
  <si>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</si>
  <si>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</si>
  <si>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</si>
  <si>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</si>
  <si>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</si>
  <si>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</si>
  <si>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</si>
  <si>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</si>
  <si>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</si>
  <si>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</si>
  <si>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</si>
  <si>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</si>
  <si>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</si>
  <si>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</si>
  <si>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</si>
  <si>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</si>
  <si>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</si>
  <si>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</si>
  <si>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</si>
  <si>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</si>
  <si>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</si>
  <si>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</si>
  <si>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</si>
  <si>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</si>
  <si>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</si>
  <si>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</si>
  <si>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</si>
  <si>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</si>
  <si>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</si>
  <si>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</si>
  <si>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</si>
  <si>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</si>
  <si>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</si>
  <si>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</si>
  <si>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</si>
  <si>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</si>
  <si>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</si>
  <si>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</si>
  <si>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</si>
  <si>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</si>
  <si>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</si>
  <si>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</si>
  <si>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</si>
  <si>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</si>
  <si>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</si>
  <si>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</si>
  <si>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</si>
  <si>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</si>
  <si>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</si>
  <si>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</si>
  <si>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</si>
  <si>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</si>
  <si>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</si>
  <si>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</si>
  <si>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</si>
  <si>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</si>
  <si>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</si>
  <si>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</si>
  <si>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</si>
  <si>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</si>
  <si>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</si>
  <si>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</si>
  <si>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</si>
  <si>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</si>
  <si>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</si>
  <si>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</si>
  <si>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</si>
  <si>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</si>
  <si>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</si>
  <si>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</si>
  <si>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</si>
  <si>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</si>
  <si>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</si>
  <si>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</si>
  <si>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</si>
  <si>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</si>
  <si>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</si>
  <si>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</si>
  <si>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</si>
  <si>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</si>
  <si>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</si>
  <si>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</si>
  <si>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</si>
  <si>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</si>
  <si>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</si>
  <si>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</si>
  <si>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</si>
  <si>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</si>
  <si>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</si>
  <si>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</si>
  <si>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</si>
  <si>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</si>
  <si>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</si>
  <si>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</si>
  <si>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</si>
  <si>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</si>
  <si>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</si>
  <si>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</si>
  <si>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</si>
  <si>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</si>
  <si>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</si>
  <si>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</si>
  <si>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</si>
  <si>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</si>
  <si>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</si>
  <si>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</si>
  <si>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</si>
  <si>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</si>
  <si>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</si>
  <si>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</si>
  <si>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</si>
  <si>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</si>
  <si>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</si>
  <si>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</si>
  <si>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</si>
  <si>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</si>
  <si>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</si>
  <si>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</si>
  <si>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</si>
  <si>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</si>
  <si>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</si>
  <si>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</si>
  <si>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</si>
  <si>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</si>
  <si>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</si>
  <si>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</si>
  <si>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</si>
  <si>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</si>
  <si>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</si>
  <si>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</si>
  <si>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</si>
  <si>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</si>
  <si>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</si>
  <si>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</si>
  <si>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</si>
  <si>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</si>
  <si>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</si>
  <si>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</si>
  <si>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</si>
  <si>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</si>
  <si>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</si>
  <si>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</si>
  <si>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</si>
  <si>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</si>
  <si>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</si>
  <si>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</si>
  <si>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</si>
  <si>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</si>
  <si>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</si>
  <si>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</si>
  <si>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</si>
  <si>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</si>
  <si>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</si>
  <si>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</si>
  <si>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</si>
  <si>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</si>
  <si>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</si>
  <si>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</si>
  <si>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</si>
  <si>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</si>
  <si>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</si>
  <si>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</si>
  <si>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</si>
  <si>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</si>
  <si>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</si>
  <si>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</si>
  <si>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</si>
  <si>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</si>
  <si>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</si>
  <si>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</si>
  <si>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</si>
  <si>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</si>
  <si>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</si>
  <si>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</si>
  <si>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</si>
  <si>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</si>
  <si>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</si>
  <si>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</si>
  <si>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</si>
  <si>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</si>
  <si>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</si>
  <si>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</si>
  <si>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</si>
  <si>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</si>
  <si>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</si>
  <si>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</si>
  <si>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</si>
  <si>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</si>
  <si>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</si>
  <si>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</si>
  <si>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</si>
  <si>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</si>
  <si>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</si>
  <si>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</si>
  <si>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</si>
  <si>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</si>
  <si>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</si>
  <si>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</si>
  <si>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</si>
  <si>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</si>
  <si>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</si>
  <si>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</si>
  <si>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</si>
  <si>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</si>
  <si>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</si>
  <si>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</si>
  <si>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</si>
  <si>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</si>
  <si>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</si>
  <si>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</si>
  <si>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</si>
  <si>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</si>
  <si>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</si>
  <si>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</si>
  <si>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</si>
  <si>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</si>
  <si>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</si>
  <si>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</si>
  <si>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</si>
  <si>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</si>
  <si>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</si>
  <si>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</si>
  <si>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</si>
  <si>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</si>
  <si>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</si>
  <si>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</si>
  <si>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</si>
  <si>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</si>
  <si>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</si>
  <si>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</si>
  <si>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</si>
  <si>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</si>
  <si>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</si>
  <si>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</si>
  <si>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</si>
  <si>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</si>
  <si>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</si>
  <si>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</si>
  <si>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</si>
  <si>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</si>
  <si>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</si>
  <si>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</si>
  <si>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</si>
  <si>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</si>
  <si>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</si>
  <si>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</si>
  <si>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</si>
  <si>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</si>
  <si>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</si>
  <si>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</si>
  <si>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</si>
  <si>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</si>
  <si>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</si>
  <si>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</si>
  <si>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</si>
  <si>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</si>
  <si>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</si>
  <si>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</si>
  <si>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</si>
  <si>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</si>
  <si>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</si>
  <si>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</si>
  <si>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</si>
  <si>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</si>
  <si>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</si>
  <si>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</si>
  <si>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</si>
  <si>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</si>
  <si>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</si>
  <si>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</si>
  <si>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</si>
  <si>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</si>
  <si>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</si>
  <si>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</si>
  <si>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</si>
  <si>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</si>
  <si>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</si>
  <si>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</si>
  <si>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</si>
  <si>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</si>
  <si>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</si>
  <si>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</si>
  <si>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</si>
  <si>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</si>
  <si>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</si>
  <si>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</si>
  <si>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</si>
  <si>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</si>
  <si>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</si>
  <si>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</si>
  <si>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</si>
  <si>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</si>
  <si>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</si>
  <si>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</si>
  <si>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</si>
  <si>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</si>
  <si>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</si>
  <si>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</si>
  <si>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</si>
  <si>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</si>
  <si>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</si>
  <si>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</si>
  <si>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</si>
  <si>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</si>
  <si>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</si>
  <si>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</si>
  <si>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</si>
  <si>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</si>
  <si>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</si>
  <si>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</si>
  <si>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</si>
  <si>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</si>
  <si>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</si>
  <si>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</si>
  <si>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</si>
  <si>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</si>
  <si>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</si>
  <si>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</si>
  <si>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</si>
  <si>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</si>
  <si>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</si>
  <si>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</si>
  <si>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</si>
  <si>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</si>
  <si>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</si>
  <si>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</si>
  <si>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</si>
  <si>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</si>
  <si>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</si>
  <si>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</si>
  <si>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</si>
  <si>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</si>
  <si>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</si>
  <si>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</si>
  <si>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</si>
  <si>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</si>
  <si>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</si>
  <si>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</si>
  <si>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</si>
  <si>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</si>
  <si>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</si>
  <si>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</si>
  <si>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</si>
  <si>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</si>
  <si>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</si>
  <si>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</si>
  <si>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</si>
  <si>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</si>
  <si>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</si>
  <si>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</si>
  <si>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</si>
  <si>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</si>
  <si>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</si>
  <si>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</si>
  <si>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</si>
  <si>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</si>
  <si>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</si>
  <si>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</si>
  <si>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</si>
  <si>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</si>
  <si>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</si>
  <si>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</si>
  <si>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</si>
  <si>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</si>
  <si>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</si>
  <si>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</si>
  <si>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</si>
  <si>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</si>
  <si>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</si>
  <si>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</si>
  <si>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</si>
  <si>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</si>
  <si>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</si>
  <si>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</si>
  <si>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</si>
  <si>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</si>
  <si>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</si>
  <si>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</si>
  <si>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</si>
  <si>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</si>
  <si>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</si>
  <si>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</si>
  <si>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</si>
  <si>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</si>
  <si>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</si>
  <si>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</si>
  <si>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</si>
  <si>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</si>
  <si>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</si>
  <si>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</si>
  <si>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</si>
  <si>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</si>
  <si>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</si>
  <si>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</si>
  <si>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</si>
  <si>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</si>
  <si>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</si>
  <si>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</si>
  <si>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</si>
  <si>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</si>
  <si>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</si>
  <si>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</si>
  <si>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</si>
  <si>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</si>
  <si>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</si>
  <si>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</si>
  <si>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</si>
  <si>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</si>
  <si>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</si>
  <si>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</si>
  <si>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</si>
  <si>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</si>
  <si>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</si>
  <si>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</si>
  <si>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</si>
  <si>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</si>
  <si>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</si>
  <si>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</si>
  <si>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</si>
  <si>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</si>
  <si>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</si>
  <si>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</si>
  <si>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</si>
  <si>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</si>
  <si>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</si>
  <si>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</si>
  <si>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</si>
  <si>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</si>
  <si>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</si>
  <si>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</si>
  <si>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</si>
  <si>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</si>
  <si>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</si>
  <si>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</si>
  <si>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</si>
  <si>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</si>
  <si>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</si>
  <si>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</si>
  <si>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</si>
  <si>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</si>
  <si>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</si>
  <si>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</si>
  <si>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</si>
  <si>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</si>
  <si>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</si>
  <si>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</si>
  <si>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</si>
  <si>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</si>
  <si>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</si>
  <si>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</si>
  <si>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</si>
  <si>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</si>
  <si>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</si>
  <si>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</si>
  <si>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</si>
  <si>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</si>
  <si>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</si>
  <si>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</si>
  <si>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</si>
  <si>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</si>
  <si>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</si>
  <si>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</si>
  <si>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</si>
  <si>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</si>
  <si>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</si>
  <si>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</si>
  <si>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</si>
  <si>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</si>
  <si>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</si>
  <si>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</si>
  <si>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</si>
  <si>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</si>
  <si>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</si>
  <si>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</si>
  <si>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</si>
  <si>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</si>
  <si>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</si>
  <si>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</si>
  <si>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</si>
  <si>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</si>
  <si>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</si>
  <si>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</si>
  <si>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</si>
  <si>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</si>
  <si>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</si>
  <si>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</si>
  <si>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</si>
  <si>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</si>
  <si>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</si>
  <si>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</si>
  <si>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</si>
  <si>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</si>
  <si>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</si>
  <si>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</si>
  <si>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</si>
  <si>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</si>
  <si>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</si>
  <si>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</si>
  <si>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</si>
  <si>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</si>
  <si>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</si>
  <si>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</si>
  <si>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</si>
  <si>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</si>
  <si>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</si>
  <si>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</si>
  <si>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</si>
  <si>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</si>
  <si>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</si>
  <si>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</si>
  <si>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</si>
  <si>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</si>
  <si>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</si>
  <si>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</si>
  <si>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</si>
  <si>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</si>
  <si>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</si>
  <si>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</si>
  <si>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</si>
  <si>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</si>
  <si>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</si>
  <si>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</si>
  <si>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</si>
  <si>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</si>
  <si>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</si>
  <si>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</si>
  <si>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</si>
  <si>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</si>
  <si>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</si>
  <si>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</si>
  <si>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</si>
  <si>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</si>
  <si>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</si>
  <si>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</si>
  <si>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</si>
  <si>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</si>
  <si>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</si>
  <si>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</si>
  <si>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</si>
  <si>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</si>
  <si>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</si>
  <si>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</si>
  <si>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</si>
  <si>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</si>
  <si>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</si>
  <si>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</si>
  <si>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</si>
  <si>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</si>
  <si>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</si>
  <si>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</si>
  <si>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</si>
  <si>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</si>
  <si>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</si>
  <si>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</si>
  <si>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</si>
  <si>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</si>
  <si>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</si>
  <si>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</si>
  <si>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</si>
  <si>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</si>
  <si>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</si>
  <si>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</si>
  <si>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</si>
  <si>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</si>
  <si>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</si>
  <si>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</si>
  <si>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</si>
  <si>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</si>
  <si>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</si>
  <si>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</si>
  <si>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</si>
  <si>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</si>
  <si>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</si>
  <si>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</si>
  <si>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</si>
  <si>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</si>
  <si>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</si>
  <si>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</si>
  <si>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</si>
  <si>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</si>
  <si>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</si>
  <si>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</si>
  <si>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</si>
  <si>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</si>
  <si>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</si>
  <si>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</si>
  <si>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</si>
  <si>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</si>
  <si>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</si>
  <si>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</si>
  <si>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</si>
  <si>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</si>
  <si>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</si>
  <si>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</si>
  <si>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</si>
  <si>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</si>
  <si>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</si>
  <si>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</si>
  <si>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</si>
  <si>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</si>
  <si>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</si>
  <si>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</si>
  <si>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</si>
  <si>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</si>
  <si>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</si>
  <si>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</si>
  <si>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</si>
  <si>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</si>
  <si>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</si>
  <si>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</si>
  <si>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</si>
  <si>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</si>
  <si>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</si>
  <si>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</si>
  <si>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</si>
  <si>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</si>
  <si>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</si>
  <si>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</si>
  <si>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</si>
  <si>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</si>
  <si>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</si>
  <si>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</si>
  <si>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</si>
  <si>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</si>
  <si>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</si>
  <si>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</si>
  <si>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</si>
  <si>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</si>
  <si>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</si>
  <si>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</si>
  <si>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</si>
  <si>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</si>
  <si>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</si>
  <si>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</si>
  <si>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</si>
  <si>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</si>
  <si>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</si>
  <si>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</si>
  <si>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</si>
  <si>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</si>
  <si>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</si>
  <si>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</si>
  <si>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</si>
  <si>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</si>
  <si>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</si>
  <si>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</si>
  <si>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</si>
  <si>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</si>
  <si>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</si>
  <si>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</si>
  <si>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</si>
  <si>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</si>
  <si>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</si>
  <si>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</si>
  <si>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</si>
  <si>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</si>
  <si>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</si>
  <si>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</si>
  <si>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</si>
  <si>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</si>
  <si>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</si>
  <si>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</si>
  <si>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</si>
  <si>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</si>
  <si>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</si>
  <si>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</si>
  <si>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</si>
  <si>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</si>
  <si>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</si>
  <si>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</si>
  <si>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</si>
  <si>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</si>
  <si>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</si>
  <si>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</si>
  <si>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</si>
  <si>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</si>
  <si>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</si>
  <si>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</si>
  <si>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</si>
  <si>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</si>
  <si>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</si>
  <si>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</si>
  <si>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</si>
  <si>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</si>
  <si>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</si>
  <si>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</si>
  <si>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</si>
  <si>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</si>
  <si>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</si>
  <si>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</si>
  <si>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</si>
  <si>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</si>
  <si>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</si>
  <si>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</si>
  <si>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</si>
  <si>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</si>
  <si>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</si>
  <si>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</si>
  <si>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</si>
  <si>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</si>
  <si>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</si>
  <si>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</si>
  <si>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</si>
  <si>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</si>
  <si>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</si>
  <si>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</si>
  <si>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</si>
  <si>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</si>
  <si>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</si>
  <si>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</si>
  <si>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</si>
  <si>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</si>
  <si>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</si>
  <si>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</si>
  <si>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</si>
  <si>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</si>
  <si>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</si>
  <si>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</si>
  <si>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</si>
  <si>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</si>
  <si>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</si>
  <si>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</si>
  <si>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</si>
  <si>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</si>
  <si>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</si>
  <si>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</si>
  <si>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</si>
  <si>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</si>
  <si>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</si>
  <si>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</si>
  <si>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</si>
  <si>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</si>
  <si>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</si>
  <si>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</si>
  <si>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</si>
  <si>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</si>
  <si>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</si>
  <si>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</si>
  <si>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</si>
  <si>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</si>
  <si>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</si>
  <si>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</si>
  <si>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</si>
  <si>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</si>
  <si>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</si>
  <si>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</si>
  <si>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</si>
  <si>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</si>
  <si>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</si>
  <si>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</si>
  <si>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</si>
  <si>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</si>
  <si>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</si>
  <si>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</si>
  <si>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</si>
  <si>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</si>
  <si>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</si>
  <si>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</si>
  <si>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</si>
  <si>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</si>
  <si>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</si>
  <si>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</si>
  <si>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</si>
  <si>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</si>
  <si>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</si>
  <si>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</si>
  <si>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</si>
  <si>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</si>
  <si>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</si>
  <si>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</si>
  <si>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</si>
  <si>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</si>
  <si>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</si>
  <si>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</si>
  <si>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</si>
  <si>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</si>
  <si>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</si>
  <si>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</si>
  <si>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</si>
  <si>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</si>
  <si>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</si>
  <si>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</si>
  <si>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</si>
  <si>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</si>
  <si>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</si>
  <si>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</si>
  <si>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</si>
  <si>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</si>
  <si>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</si>
  <si>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</si>
  <si>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</si>
  <si>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</si>
  <si>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</si>
  <si>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</si>
  <si>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</si>
  <si>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</si>
  <si>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</si>
  <si>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</si>
  <si>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</si>
  <si>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</si>
  <si>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</si>
  <si>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</si>
  <si>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</si>
  <si>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</si>
  <si>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</si>
  <si>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</si>
  <si>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</si>
  <si>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</si>
  <si>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</si>
  <si>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</si>
  <si>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</si>
  <si>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</si>
  <si>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</si>
  <si>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</si>
  <si>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</si>
  <si>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</si>
  <si>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</si>
  <si>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</si>
  <si>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</si>
  <si>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</si>
  <si>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</si>
  <si>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</si>
  <si>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</si>
  <si>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</si>
  <si>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</si>
  <si>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</si>
  <si>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</si>
  <si>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</si>
  <si>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</si>
  <si>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</si>
  <si>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</si>
  <si>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</si>
  <si>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</si>
  <si>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</si>
  <si>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</si>
  <si>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</si>
  <si>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</si>
  <si>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</si>
  <si>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</si>
  <si>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</si>
  <si>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</si>
  <si>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</si>
  <si>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</si>
  <si>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</si>
  <si>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</si>
  <si>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</si>
  <si>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</si>
  <si>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</si>
  <si>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</si>
  <si>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</si>
  <si>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</si>
  <si>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</si>
  <si>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</si>
  <si>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</si>
  <si>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</si>
  <si>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</si>
  <si>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</si>
  <si>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</si>
  <si>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</si>
  <si>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</si>
  <si>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</si>
  <si>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</si>
  <si>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</si>
  <si>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</si>
  <si>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</si>
  <si>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</si>
  <si>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</si>
  <si>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</si>
  <si>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</si>
  <si>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</si>
  <si>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</si>
  <si>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</si>
  <si>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</si>
  <si>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</si>
  <si>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</si>
  <si>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</si>
  <si>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</si>
  <si>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</si>
  <si>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</si>
  <si>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</si>
  <si>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</si>
  <si>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</si>
  <si>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</si>
  <si>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</si>
  <si>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</si>
  <si>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</si>
  <si>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</si>
  <si>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</si>
  <si>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</si>
  <si>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</si>
  <si>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</si>
  <si>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</si>
  <si>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</si>
  <si>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</si>
  <si>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</si>
  <si>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</si>
  <si>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</si>
  <si>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</si>
  <si>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</si>
  <si>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</si>
  <si>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</si>
  <si>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</si>
  <si>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</si>
  <si>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</si>
  <si>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</si>
  <si>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</si>
  <si>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</si>
  <si>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</si>
  <si>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</si>
  <si>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</si>
  <si>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</si>
  <si>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</si>
  <si>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</si>
  <si>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</si>
  <si>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</si>
  <si>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</si>
  <si>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</si>
  <si>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</si>
  <si>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</si>
  <si>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</si>
  <si>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</si>
  <si>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</si>
  <si>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</si>
  <si>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</si>
  <si>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</si>
  <si>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</si>
  <si>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</si>
  <si>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</si>
  <si>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</si>
  <si>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</si>
  <si>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</si>
  <si>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</si>
  <si>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</si>
  <si>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</si>
  <si>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</si>
  <si>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</si>
  <si>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</si>
  <si>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</si>
  <si>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</si>
  <si>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</si>
  <si>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</si>
  <si>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</si>
  <si>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</si>
  <si>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</si>
  <si>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</si>
  <si>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</si>
  <si>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</si>
  <si>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</si>
  <si>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</si>
  <si>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</si>
  <si>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</si>
  <si>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</si>
  <si>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</si>
  <si>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</si>
  <si>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</si>
  <si>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</si>
  <si>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</si>
  <si>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</si>
  <si>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</si>
  <si>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</si>
  <si>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</si>
  <si>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</si>
  <si>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</si>
  <si>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</si>
  <si>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</si>
  <si>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</si>
  <si>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</si>
  <si>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</si>
  <si>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</si>
  <si>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</si>
  <si>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</si>
  <si>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</si>
  <si>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</si>
  <si>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</si>
  <si>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</si>
  <si>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</si>
  <si>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</si>
  <si>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</si>
  <si>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</si>
  <si>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</si>
  <si>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</si>
  <si>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</si>
  <si>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</si>
  <si>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</si>
  <si>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</si>
  <si>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</si>
  <si>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</si>
  <si>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</si>
  <si>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</si>
  <si>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</si>
  <si>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</si>
  <si>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</si>
  <si>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</si>
  <si>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</si>
  <si>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</si>
  <si>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</si>
  <si>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</si>
  <si>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</si>
  <si>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 xml:space="preserve">H000004935 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</si>
  <si>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</si>
  <si>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</si>
  <si>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</si>
  <si>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</si>
  <si>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</si>
  <si>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</si>
  <si>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</si>
  <si>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</si>
  <si>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</si>
  <si>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</si>
  <si>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</si>
  <si>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</si>
  <si>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</si>
  <si>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</si>
  <si>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</si>
  <si>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</si>
  <si>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</si>
  <si>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</si>
  <si>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</si>
  <si>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</si>
  <si>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</si>
  <si>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</si>
  <si>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</si>
  <si>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</si>
  <si>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</si>
  <si>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</si>
  <si>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</si>
  <si>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</si>
  <si>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</si>
  <si>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</si>
  <si>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</si>
  <si>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</si>
  <si>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</si>
  <si>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</si>
  <si>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</si>
  <si>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</si>
  <si>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</si>
  <si>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</si>
  <si>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</si>
  <si>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</si>
  <si>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</si>
  <si>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</si>
  <si>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</si>
  <si>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</si>
  <si>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</si>
  <si>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</si>
  <si>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</si>
  <si>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</si>
  <si>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</si>
  <si>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</si>
  <si>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</si>
  <si>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</si>
  <si>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</si>
  <si>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</si>
  <si>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</si>
  <si>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</si>
  <si>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</si>
  <si>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</si>
  <si>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</si>
  <si>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</si>
  <si>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</si>
  <si>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</si>
  <si>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</si>
  <si>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</si>
  <si>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</si>
  <si>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</si>
  <si>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</si>
  <si>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</si>
  <si>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</si>
  <si>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</si>
  <si>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</si>
  <si>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</si>
  <si>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</si>
  <si>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</si>
  <si>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</si>
  <si>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</si>
  <si>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</si>
  <si>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</si>
  <si>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</si>
  <si>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</si>
  <si>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</si>
  <si>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</si>
  <si>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</si>
  <si>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</si>
  <si>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</si>
  <si>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</si>
  <si>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</si>
  <si>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</si>
  <si>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</si>
  <si>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</si>
  <si>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</si>
  <si>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</si>
  <si>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</si>
  <si>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</si>
  <si>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</si>
  <si>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</si>
  <si>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</si>
  <si>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</si>
  <si>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</si>
  <si>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</si>
  <si>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</si>
  <si>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</si>
  <si>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</si>
  <si>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</si>
  <si>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</si>
  <si>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</si>
  <si>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</si>
  <si>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</si>
  <si>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</si>
  <si>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</si>
  <si>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</si>
  <si>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</si>
  <si>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</si>
  <si>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</si>
  <si>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</si>
  <si>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</si>
  <si>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</si>
  <si>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</si>
  <si>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</si>
  <si>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</si>
  <si>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</si>
  <si>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</si>
  <si>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</si>
  <si>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Standard</t>
  </si>
  <si>
    <t>Waiting for approval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</si>
</sst>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</cellStyleXfs>
  <cellXfs count="10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</cellXfs>
  <cellStyles count="12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01.153550578703" createdVersion="7" refreshedVersion="7" minRefreshableVersion="3" recordCount="152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521"/>
    </cacheField>
    <cacheField name="Forecast?" numFmtId="0">
      <sharedItems/>
    </cacheField>
    <cacheField name="Ticket" numFmtId="0">
      <sharedItems containsBlank="1" count="148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4">
        <s v="ON TM1"/>
        <s v="RETURNED TO ORIGINAL NODE"/>
        <s v="Waiting for approval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21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1"/>
    <x v="2"/>
    <s v="HC"/>
    <m/>
    <m/>
    <s v="Dale Ian Castaneda"/>
  </r>
  <r>
    <n v="1377"/>
    <s v="F2"/>
    <x v="41"/>
    <s v="H000004958"/>
    <s v="1401CA - OPERATIONS"/>
    <s v="H000004957"/>
    <s v="New"/>
    <x v="1"/>
    <x v="2"/>
    <s v="HC"/>
    <m/>
    <m/>
    <s v="Dale Ian Castaneda"/>
  </r>
  <r>
    <n v="1378"/>
    <s v="F2"/>
    <x v="41"/>
    <s v="H000004959"/>
    <s v="1401CA - MANUFACTURING"/>
    <s v="H000004958"/>
    <s v="New"/>
    <x v="1"/>
    <x v="2"/>
    <s v="HC"/>
    <m/>
    <m/>
    <s v="Dale Ian Castaneda"/>
  </r>
  <r>
    <n v="1379"/>
    <s v="F2"/>
    <x v="41"/>
    <s v="H000004960"/>
    <s v="1401CA - API"/>
    <s v="H000004959"/>
    <s v="New"/>
    <x v="1"/>
    <x v="2"/>
    <s v="HC"/>
    <m/>
    <m/>
    <s v="Dale Ian Castaneda"/>
  </r>
  <r>
    <n v="1380"/>
    <s v="F2"/>
    <x v="41"/>
    <s v="H000004961"/>
    <s v="1401CA - EQUIPMENTS"/>
    <s v="H000004960"/>
    <s v="New"/>
    <x v="1"/>
    <x v="2"/>
    <s v="HC"/>
    <m/>
    <m/>
    <s v="Dale Ian Castaneda"/>
  </r>
  <r>
    <n v="1381"/>
    <s v="F2"/>
    <x v="41"/>
    <s v="H000004962"/>
    <s v="1401CA - LABOR"/>
    <s v="H000004960"/>
    <s v="New"/>
    <x v="1"/>
    <x v="2"/>
    <s v="HC"/>
    <m/>
    <m/>
    <s v="Dale Ian Castaneda"/>
  </r>
  <r>
    <n v="1382"/>
    <s v="F2"/>
    <x v="41"/>
    <s v="H000004963"/>
    <s v="1401CA - INDIRECT SERVICES"/>
    <s v="H000004960"/>
    <s v="New"/>
    <x v="1"/>
    <x v="2"/>
    <s v="HC"/>
    <m/>
    <m/>
    <s v="Dale Ian Castaneda"/>
  </r>
  <r>
    <n v="1383"/>
    <s v="F2"/>
    <x v="41"/>
    <s v="H000004964"/>
    <s v="1401CA - MCC"/>
    <s v="H000004960"/>
    <s v="New"/>
    <x v="1"/>
    <x v="2"/>
    <s v="HC"/>
    <m/>
    <m/>
    <s v="Dale Ian Castaneda"/>
  </r>
  <r>
    <n v="1384"/>
    <s v="F2"/>
    <x v="41"/>
    <s v="H000004965"/>
    <s v="1401CA - OPERATIONS SUPPORT SERVICES"/>
    <s v="H000004957"/>
    <s v="New"/>
    <x v="1"/>
    <x v="2"/>
    <s v="HC"/>
    <m/>
    <m/>
    <s v="Dale Ian Castaneda"/>
  </r>
  <r>
    <n v="1385"/>
    <s v="F2"/>
    <x v="41"/>
    <s v="H000004966"/>
    <s v="1401CA - MAINTENANCE AND ENGINEERING"/>
    <s v="H000004965"/>
    <s v="New"/>
    <x v="1"/>
    <x v="2"/>
    <s v="HC"/>
    <m/>
    <m/>
    <s v="Dale Ian Castaneda"/>
  </r>
  <r>
    <n v="1386"/>
    <s v="F2"/>
    <x v="41"/>
    <s v="H000004967"/>
    <s v="1401CA - SUPPLY AND PLANNING"/>
    <s v="H000004965"/>
    <s v="New"/>
    <x v="1"/>
    <x v="2"/>
    <s v="HC"/>
    <m/>
    <m/>
    <s v="Dale Ian Castaneda"/>
  </r>
  <r>
    <n v="1387"/>
    <s v="F2"/>
    <x v="41"/>
    <s v="H000004968"/>
    <s v="1401CA - SITE SERVICES"/>
    <s v="H000004965"/>
    <s v="New"/>
    <x v="1"/>
    <x v="2"/>
    <s v="HC"/>
    <m/>
    <m/>
    <s v="Dale Ian Castaneda"/>
  </r>
  <r>
    <n v="1388"/>
    <s v="F2"/>
    <x v="41"/>
    <s v="H000004969"/>
    <s v="1401CA - SITE INFRASTRUCTURE"/>
    <s v="H000004957"/>
    <s v="New"/>
    <x v="1"/>
    <x v="2"/>
    <s v="HC"/>
    <m/>
    <m/>
    <s v="Dale Ian Castaneda"/>
  </r>
  <r>
    <n v="1389"/>
    <s v="F2"/>
    <x v="41"/>
    <s v="H000004970"/>
    <s v="1401CA - OTHER FACILITIES"/>
    <s v="H000004969"/>
    <s v="New"/>
    <x v="1"/>
    <x v="2"/>
    <s v="HC"/>
    <m/>
    <m/>
    <s v="Dale Ian Castaneda"/>
  </r>
  <r>
    <n v="1390"/>
    <s v="F2"/>
    <x v="41"/>
    <s v="H000004971"/>
    <s v="1401CA - QUALITY"/>
    <s v="H000004957"/>
    <s v="New"/>
    <x v="1"/>
    <x v="2"/>
    <s v="HC"/>
    <m/>
    <m/>
    <s v="Dale Ian Castaneda"/>
  </r>
  <r>
    <n v="1391"/>
    <s v="F2"/>
    <x v="41"/>
    <s v="H000004972"/>
    <s v="1401CA - OTHERS"/>
    <s v="H000004957"/>
    <s v="New"/>
    <x v="1"/>
    <x v="2"/>
    <s v="HC"/>
    <m/>
    <m/>
    <s v="Dale Ian Castaneda"/>
  </r>
  <r>
    <n v="1392"/>
    <s v="F2"/>
    <x v="41"/>
    <s v="H000004973"/>
    <s v="1401CA - START-UP"/>
    <s v="H000004972"/>
    <s v="New"/>
    <x v="1"/>
    <x v="2"/>
    <s v="HC"/>
    <m/>
    <m/>
    <s v="Dale Ian Castaneda"/>
  </r>
  <r>
    <n v="1393"/>
    <s v="F2"/>
    <x v="41"/>
    <s v="H000004974"/>
    <s v="1401CA - IDLE COSTS"/>
    <s v="H000004972"/>
    <s v="New"/>
    <x v="1"/>
    <x v="2"/>
    <s v="HC"/>
    <m/>
    <m/>
    <s v="Dale Ian Castaneda"/>
  </r>
  <r>
    <n v="1394"/>
    <s v="F2"/>
    <x v="41"/>
    <s v="H000004975"/>
    <s v="1401CA - MISC"/>
    <s v="H000004972"/>
    <s v="New"/>
    <x v="1"/>
    <x v="2"/>
    <s v="HC"/>
    <m/>
    <m/>
    <s v="Dale Ian Castaneda"/>
  </r>
  <r>
    <n v="1395"/>
    <s v="F2"/>
    <x v="41"/>
    <s v="H000004976"/>
    <s v="1401ME - Meyzieu (CCH)"/>
    <s v="H000000589"/>
    <s v="New"/>
    <x v="1"/>
    <x v="2"/>
    <s v="HC"/>
    <m/>
    <m/>
    <s v="Dale Ian Castaneda"/>
  </r>
  <r>
    <n v="1396"/>
    <s v="F2"/>
    <x v="41"/>
    <s v="H000004977"/>
    <s v="1401ME - OPERATIONS"/>
    <s v="H000004976"/>
    <s v="New"/>
    <x v="1"/>
    <x v="2"/>
    <s v="HC"/>
    <m/>
    <m/>
    <s v="Dale Ian Castaneda"/>
  </r>
  <r>
    <n v="1397"/>
    <s v="F2"/>
    <x v="41"/>
    <s v="H000004978"/>
    <s v="1401ME-MANUFACTURING"/>
    <s v="H000004977"/>
    <s v="New"/>
    <x v="1"/>
    <x v="2"/>
    <s v="HC"/>
    <m/>
    <m/>
    <s v="Dale Ian Castaneda"/>
  </r>
  <r>
    <n v="1398"/>
    <s v="F2"/>
    <x v="41"/>
    <s v="H000004979"/>
    <s v="1401ME - API"/>
    <s v="H000004978"/>
    <s v="New"/>
    <x v="1"/>
    <x v="2"/>
    <s v="HC"/>
    <m/>
    <m/>
    <s v="Dale Ian Castaneda"/>
  </r>
  <r>
    <n v="1399"/>
    <s v="F2"/>
    <x v="41"/>
    <s v="H000004980"/>
    <s v="1401ME - EQUIPMENTS"/>
    <s v="H000004979"/>
    <s v="New"/>
    <x v="1"/>
    <x v="2"/>
    <s v="HC"/>
    <m/>
    <m/>
    <s v="Dale Ian Castaneda"/>
  </r>
  <r>
    <n v="1400"/>
    <s v="F2"/>
    <x v="41"/>
    <s v="H000004981"/>
    <s v="1401ME - LABOR"/>
    <s v="H000004979"/>
    <s v="New"/>
    <x v="1"/>
    <x v="2"/>
    <s v="HC"/>
    <m/>
    <m/>
    <s v="Dale Ian Castaneda"/>
  </r>
  <r>
    <n v="1401"/>
    <s v="F2"/>
    <x v="41"/>
    <s v="H000004982"/>
    <s v="1401ME - INDIRECT SERVICES"/>
    <s v="H000004979"/>
    <s v="New"/>
    <x v="1"/>
    <x v="2"/>
    <s v="HC"/>
    <m/>
    <m/>
    <s v="Dale Ian Castaneda"/>
  </r>
  <r>
    <n v="1402"/>
    <s v="F2"/>
    <x v="41"/>
    <s v="H000004983"/>
    <s v="1401ME - MCC"/>
    <s v="H000004979"/>
    <s v="New"/>
    <x v="1"/>
    <x v="2"/>
    <s v="HC"/>
    <m/>
    <m/>
    <s v="Dale Ian Castaneda"/>
  </r>
  <r>
    <n v="1403"/>
    <s v="F2"/>
    <x v="41"/>
    <s v="H000004984"/>
    <s v="1401ME - OPERATIONS SUPPORT SERVICES"/>
    <s v="H000004976"/>
    <s v="New"/>
    <x v="1"/>
    <x v="2"/>
    <s v="HC"/>
    <m/>
    <m/>
    <s v="Dale Ian Castaneda"/>
  </r>
  <r>
    <n v="1404"/>
    <s v="F2"/>
    <x v="41"/>
    <s v="H000004985"/>
    <s v="1401ME - MAINTENANCE AND ENGINEERING"/>
    <s v="H000004984"/>
    <s v="New"/>
    <x v="1"/>
    <x v="2"/>
    <s v="HC"/>
    <m/>
    <m/>
    <s v="Dale Ian Castaneda"/>
  </r>
  <r>
    <n v="1405"/>
    <s v="F2"/>
    <x v="41"/>
    <s v="H000004986"/>
    <s v="1401ME - SUPPLY AND PLANNING"/>
    <s v="H000004984"/>
    <s v="New"/>
    <x v="1"/>
    <x v="2"/>
    <s v="HC"/>
    <m/>
    <m/>
    <s v="Dale Ian Castaneda"/>
  </r>
  <r>
    <n v="1406"/>
    <s v="F2"/>
    <x v="41"/>
    <s v="H000004987"/>
    <s v="1401ME - SITE SERVICES"/>
    <s v="H000004984"/>
    <s v="New"/>
    <x v="1"/>
    <x v="2"/>
    <s v="HC"/>
    <m/>
    <m/>
    <s v="Dale Ian Castaneda"/>
  </r>
  <r>
    <n v="1407"/>
    <s v="F2"/>
    <x v="41"/>
    <s v="H000004988"/>
    <s v="1401ME - SITE INFRASTRUCTURE"/>
    <s v="H000004976"/>
    <s v="New"/>
    <x v="1"/>
    <x v="2"/>
    <s v="HC"/>
    <m/>
    <m/>
    <s v="Dale Ian Castaneda"/>
  </r>
  <r>
    <n v="1408"/>
    <s v="F2"/>
    <x v="41"/>
    <s v="H000004989"/>
    <s v="1401ME - OTHER FACILITIES"/>
    <s v="H000004988"/>
    <s v="New"/>
    <x v="1"/>
    <x v="2"/>
    <s v="HC"/>
    <m/>
    <m/>
    <s v="Dale Ian Castaneda"/>
  </r>
  <r>
    <n v="1409"/>
    <s v="F2"/>
    <x v="41"/>
    <s v="H000004990"/>
    <s v="1401ME - QUALITY"/>
    <s v="H000004976"/>
    <s v="New"/>
    <x v="1"/>
    <x v="2"/>
    <s v="HC"/>
    <m/>
    <m/>
    <s v="Dale Ian Castaneda"/>
  </r>
  <r>
    <n v="1410"/>
    <s v="F2"/>
    <x v="41"/>
    <s v="H000004991"/>
    <s v="1401ME - OTHERS"/>
    <s v="H000004976"/>
    <s v="New"/>
    <x v="1"/>
    <x v="2"/>
    <s v="HC"/>
    <m/>
    <m/>
    <s v="Dale Ian Castaneda"/>
  </r>
  <r>
    <n v="1411"/>
    <s v="F2"/>
    <x v="41"/>
    <s v="H000004992"/>
    <s v="1401ME - START-UP"/>
    <s v="H000004972"/>
    <s v="New"/>
    <x v="1"/>
    <x v="2"/>
    <s v="HC"/>
    <m/>
    <m/>
    <s v="Dale Ian Castaneda"/>
  </r>
  <r>
    <n v="1412"/>
    <s v="F2"/>
    <x v="41"/>
    <s v="H000004993"/>
    <s v="1401ME - IDLE COSTS"/>
    <s v="H000004972"/>
    <s v="New"/>
    <x v="1"/>
    <x v="2"/>
    <s v="HC"/>
    <m/>
    <m/>
    <s v="Dale Ian Castaneda"/>
  </r>
  <r>
    <n v="1413"/>
    <s v="F2"/>
    <x v="41"/>
    <s v="H000004994"/>
    <s v="1401ME - MISC"/>
    <s v="H000004972"/>
    <s v="New"/>
    <x v="1"/>
    <x v="2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1"/>
    <x v="2"/>
    <s v="HC"/>
    <m/>
    <m/>
    <s v="Gay Geanuza del Mundo"/>
  </r>
  <r>
    <n v="1416"/>
    <s v="F2"/>
    <x v="43"/>
    <s v="H000004996"/>
    <s v="1401SE Manufacturing (bulk)"/>
    <s v="H000000554"/>
    <s v="New"/>
    <x v="1"/>
    <x v="2"/>
    <s v="HC"/>
    <m/>
    <m/>
    <s v="Dale Ian Castaneda"/>
  </r>
  <r>
    <n v="1417"/>
    <s v="F2"/>
    <x v="43"/>
    <s v="H000004997"/>
    <s v="1401SE Visual Inspection"/>
    <s v="H000000554"/>
    <s v="New"/>
    <x v="1"/>
    <x v="2"/>
    <s v="HC"/>
    <m/>
    <m/>
    <s v="Dale Ian Castaneda"/>
  </r>
  <r>
    <n v="1418"/>
    <s v="F2"/>
    <x v="43"/>
    <s v="H000004998"/>
    <s v="1401SE Packaging"/>
    <s v="H000000554"/>
    <s v="New"/>
    <x v="1"/>
    <x v="2"/>
    <s v="HC"/>
    <m/>
    <m/>
    <s v="Dale Ian Castaneda"/>
  </r>
  <r>
    <n v="1419"/>
    <s v="F2"/>
    <x v="43"/>
    <s v="H000004999"/>
    <s v="1401SE Vrac"/>
    <s v="H000000554"/>
    <s v="New"/>
    <x v="1"/>
    <x v="2"/>
    <s v="HC"/>
    <m/>
    <m/>
    <s v="Dale Ian Castaneda"/>
  </r>
  <r>
    <n v="1420"/>
    <s v="F2"/>
    <x v="43"/>
    <s v="H000005000"/>
    <s v="1401SE Steril (Lyo)"/>
    <s v="H000000554"/>
    <s v="New"/>
    <x v="1"/>
    <x v="2"/>
    <s v="HC"/>
    <m/>
    <m/>
    <s v="Dale Ian Castaneda"/>
  </r>
  <r>
    <n v="1421"/>
    <s v="F2"/>
    <x v="43"/>
    <s v="H000005001"/>
    <s v="1401SE GM"/>
    <s v="H000000554"/>
    <s v="New"/>
    <x v="1"/>
    <x v="2"/>
    <s v="HC"/>
    <m/>
    <m/>
    <s v="Dale Ian Castaneda"/>
  </r>
  <r>
    <n v="1422"/>
    <s v="F2"/>
    <x v="43"/>
    <s v="H000005002"/>
    <s v="1401SE Logistics"/>
    <s v="H000000554"/>
    <s v="New"/>
    <x v="1"/>
    <x v="2"/>
    <s v="HC"/>
    <m/>
    <m/>
    <s v="Dale Ian Castaneda"/>
  </r>
  <r>
    <n v="1423"/>
    <s v="F2"/>
    <x v="43"/>
    <s v="H000005003"/>
    <s v="1401SE Start-Up GPM"/>
    <s v="H000000561"/>
    <s v="New"/>
    <x v="1"/>
    <x v="2"/>
    <s v="HC"/>
    <m/>
    <m/>
    <s v="Dale Ian Castaneda"/>
  </r>
  <r>
    <n v="1424"/>
    <s v="F2"/>
    <x v="43"/>
    <s v="H000005004"/>
    <s v="1401SE Start-Up HCQ"/>
    <s v="H000000561"/>
    <s v="New"/>
    <x v="1"/>
    <x v="2"/>
    <s v="HC"/>
    <m/>
    <m/>
    <s v="Dale Ian Castaneda"/>
  </r>
  <r>
    <n v="1425"/>
    <s v="F2"/>
    <x v="44"/>
    <s v="G000000850"/>
    <s v="MRE closed cost center"/>
    <m/>
    <s v="Rename"/>
    <x v="1"/>
    <x v="2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1"/>
    <x v="2"/>
    <s v="MGF"/>
    <m/>
    <m/>
    <s v="Jojeff Tagnong"/>
  </r>
  <r>
    <n v="1428"/>
    <s v="F2"/>
    <x v="47"/>
    <s v="H000002738"/>
    <s v="MX - BU Endo &amp; Fert"/>
    <m/>
    <s v="Rename"/>
    <x v="1"/>
    <x v="2"/>
    <s v="HC"/>
    <m/>
    <m/>
    <s v="Eduardo Morillo"/>
  </r>
  <r>
    <n v="1429"/>
    <s v="F2"/>
    <x v="47"/>
    <s v="H000002739"/>
    <s v="MX - BU Endo &amp; Fert"/>
    <m/>
    <s v="Rename"/>
    <x v="1"/>
    <x v="2"/>
    <s v="HC"/>
    <m/>
    <m/>
    <s v="Eduardo Morillo"/>
  </r>
  <r>
    <n v="1430"/>
    <s v="F2"/>
    <x v="47"/>
    <s v="H000002753"/>
    <s v="MX - BU N&amp;I &amp; Onco"/>
    <m/>
    <s v="Rename"/>
    <x v="1"/>
    <x v="2"/>
    <s v="HC"/>
    <m/>
    <m/>
    <s v="Eduardo Morillo"/>
  </r>
  <r>
    <n v="1431"/>
    <s v="F2"/>
    <x v="47"/>
    <s v="H000002753"/>
    <s v="MX - BU N&amp;I &amp; Onco"/>
    <m/>
    <s v="Rename"/>
    <x v="1"/>
    <x v="2"/>
    <s v="HC"/>
    <m/>
    <m/>
    <s v="Eduardo Morillo"/>
  </r>
  <r>
    <n v="1432"/>
    <s v="F2"/>
    <x v="47"/>
    <s v="H000002762"/>
    <m/>
    <s v="H000002738"/>
    <s v="Move"/>
    <x v="1"/>
    <x v="2"/>
    <s v="HC"/>
    <m/>
    <m/>
    <s v="Eduardo Morillo"/>
  </r>
  <r>
    <n v="1433"/>
    <s v="F2"/>
    <x v="47"/>
    <s v="H000002740"/>
    <m/>
    <s v="H000002753"/>
    <s v="Move"/>
    <x v="1"/>
    <x v="2"/>
    <s v="HC"/>
    <m/>
    <m/>
    <s v="Eduardo Morillo"/>
  </r>
  <r>
    <n v="1434"/>
    <s v="F2"/>
    <x v="48"/>
    <s v="H000005005"/>
    <s v="1401CA - Calais (Before CCH)"/>
    <s v="H000000580"/>
    <s v="New"/>
    <x v="1"/>
    <x v="2"/>
    <s v="HC"/>
    <m/>
    <m/>
    <s v="Dale Ian Castaneda"/>
  </r>
  <r>
    <n v="1435"/>
    <s v="F2"/>
    <x v="48"/>
    <s v="H000005006"/>
    <s v="1401ME - Meyzieu (Before CCH)"/>
    <s v="H000000589"/>
    <s v="New"/>
    <x v="1"/>
    <x v="2"/>
    <s v="HC"/>
    <m/>
    <m/>
    <s v="Dale Ian Castaneda"/>
  </r>
  <r>
    <n v="1436"/>
    <s v="F2"/>
    <x v="48"/>
    <s v="H000000581"/>
    <m/>
    <s v="H000005005"/>
    <s v="Move"/>
    <x v="1"/>
    <x v="2"/>
    <s v="HC"/>
    <m/>
    <m/>
    <s v="Dale Ian Castaneda"/>
  </r>
  <r>
    <n v="1437"/>
    <s v="F2"/>
    <x v="48"/>
    <s v="H000000582"/>
    <m/>
    <s v="H000005005"/>
    <s v="Move"/>
    <x v="1"/>
    <x v="2"/>
    <s v="HC"/>
    <m/>
    <m/>
    <s v="Dale Ian Castaneda"/>
  </r>
  <r>
    <n v="1438"/>
    <s v="F2"/>
    <x v="48"/>
    <s v="H000000583"/>
    <m/>
    <s v="H000005005"/>
    <s v="Move"/>
    <x v="1"/>
    <x v="2"/>
    <s v="HC"/>
    <m/>
    <m/>
    <s v="Dale Ian Castaneda"/>
  </r>
  <r>
    <n v="1439"/>
    <s v="F2"/>
    <x v="48"/>
    <s v="H000000584"/>
    <m/>
    <s v="H000005005"/>
    <s v="Move"/>
    <x v="1"/>
    <x v="2"/>
    <s v="HC"/>
    <m/>
    <m/>
    <s v="Dale Ian Castaneda"/>
  </r>
  <r>
    <n v="1440"/>
    <s v="F2"/>
    <x v="48"/>
    <s v="H000000585"/>
    <m/>
    <s v="H000005005"/>
    <s v="Move"/>
    <x v="1"/>
    <x v="2"/>
    <s v="HC"/>
    <m/>
    <m/>
    <s v="Dale Ian Castaneda"/>
  </r>
  <r>
    <n v="1441"/>
    <s v="F2"/>
    <x v="48"/>
    <s v="H000000586"/>
    <m/>
    <s v="H000005005"/>
    <s v="Move"/>
    <x v="1"/>
    <x v="2"/>
    <s v="HC"/>
    <m/>
    <m/>
    <s v="Dale Ian Castaneda"/>
  </r>
  <r>
    <n v="1442"/>
    <s v="F2"/>
    <x v="48"/>
    <s v="H000000587"/>
    <m/>
    <s v="H000005005"/>
    <s v="Move"/>
    <x v="1"/>
    <x v="2"/>
    <s v="HC"/>
    <m/>
    <m/>
    <s v="Dale Ian Castaneda"/>
  </r>
  <r>
    <n v="1443"/>
    <s v="F2"/>
    <x v="48"/>
    <s v="H000000588"/>
    <m/>
    <s v="H000005005"/>
    <s v="Move"/>
    <x v="1"/>
    <x v="2"/>
    <s v="HC"/>
    <m/>
    <m/>
    <s v="Dale Ian Castaneda"/>
  </r>
  <r>
    <n v="1444"/>
    <s v="F2"/>
    <x v="48"/>
    <s v="H000000666"/>
    <m/>
    <s v="H000005005"/>
    <s v="Move"/>
    <x v="1"/>
    <x v="2"/>
    <s v="HC"/>
    <m/>
    <m/>
    <s v="Dale Ian Castaneda"/>
  </r>
  <r>
    <n v="1445"/>
    <s v="F2"/>
    <x v="48"/>
    <s v="PL_E5_FR40"/>
    <m/>
    <s v="H000005005"/>
    <s v="Move"/>
    <x v="1"/>
    <x v="2"/>
    <s v="HC"/>
    <m/>
    <m/>
    <s v="Dale Ian Castaneda"/>
  </r>
  <r>
    <n v="1446"/>
    <s v="F2"/>
    <x v="48"/>
    <s v="H000000590"/>
    <m/>
    <s v="H000005006"/>
    <s v="Move"/>
    <x v="1"/>
    <x v="2"/>
    <s v="HC"/>
    <m/>
    <m/>
    <s v="Dale Ian Castaneda"/>
  </r>
  <r>
    <n v="1447"/>
    <s v="F2"/>
    <x v="48"/>
    <s v="H000000591"/>
    <m/>
    <s v="H000005006"/>
    <s v="Move"/>
    <x v="1"/>
    <x v="2"/>
    <s v="HC"/>
    <m/>
    <m/>
    <s v="Dale Ian Castaneda"/>
  </r>
  <r>
    <n v="1448"/>
    <s v="F2"/>
    <x v="48"/>
    <s v="H000000592"/>
    <m/>
    <s v="H000005006"/>
    <s v="Move"/>
    <x v="1"/>
    <x v="2"/>
    <s v="HC"/>
    <m/>
    <m/>
    <s v="Dale Ian Castaneda"/>
  </r>
  <r>
    <n v="1449"/>
    <s v="F2"/>
    <x v="48"/>
    <s v="H000000593"/>
    <m/>
    <s v="H000005006"/>
    <s v="Move"/>
    <x v="1"/>
    <x v="2"/>
    <s v="HC"/>
    <m/>
    <m/>
    <s v="Dale Ian Castaneda"/>
  </r>
  <r>
    <n v="1450"/>
    <s v="F2"/>
    <x v="48"/>
    <s v="H000000594"/>
    <m/>
    <s v="H000005006"/>
    <s v="Move"/>
    <x v="1"/>
    <x v="2"/>
    <s v="HC"/>
    <m/>
    <m/>
    <s v="Dale Ian Castaneda"/>
  </r>
  <r>
    <n v="1451"/>
    <s v="F2"/>
    <x v="48"/>
    <s v="H000000595"/>
    <m/>
    <s v="H000005006"/>
    <s v="Move"/>
    <x v="1"/>
    <x v="2"/>
    <s v="HC"/>
    <m/>
    <m/>
    <s v="Dale Ian Castaneda"/>
  </r>
  <r>
    <n v="1452"/>
    <s v="F2"/>
    <x v="48"/>
    <s v="H000000596"/>
    <m/>
    <s v="H000005006"/>
    <s v="Move"/>
    <x v="1"/>
    <x v="2"/>
    <s v="HC"/>
    <m/>
    <m/>
    <s v="Dale Ian Castaneda"/>
  </r>
  <r>
    <n v="1453"/>
    <s v="F2"/>
    <x v="48"/>
    <s v="H000000597"/>
    <m/>
    <s v="H000005006"/>
    <s v="Move"/>
    <x v="1"/>
    <x v="2"/>
    <s v="HC"/>
    <m/>
    <m/>
    <s v="Dale Ian Castaneda"/>
  </r>
  <r>
    <n v="1454"/>
    <s v="F2"/>
    <x v="48"/>
    <s v="H000000667"/>
    <m/>
    <s v="H000005006"/>
    <s v="Move"/>
    <x v="1"/>
    <x v="2"/>
    <s v="HC"/>
    <m/>
    <m/>
    <s v="Dale Ian Castaneda"/>
  </r>
  <r>
    <n v="1455"/>
    <s v="F2"/>
    <x v="48"/>
    <s v="PL_E5_FR42"/>
    <m/>
    <s v="H000005006"/>
    <s v="Move"/>
    <x v="1"/>
    <x v="2"/>
    <s v="HC"/>
    <m/>
    <m/>
    <s v="Dale Ian Castaneda"/>
  </r>
  <r>
    <n v="1456"/>
    <s v="F2"/>
    <x v="49"/>
    <s v="G000000951"/>
    <m/>
    <s v="G000000873"/>
    <s v="Move"/>
    <x v="1"/>
    <x v="2"/>
    <s v="MGF"/>
    <m/>
    <m/>
    <s v="Analyn Ayson"/>
  </r>
  <r>
    <n v="1457"/>
    <s v="F2"/>
    <x v="50"/>
    <s v="H000005007"/>
    <s v="TR - BU Rare Diseases"/>
    <s v="H000003462"/>
    <s v="New"/>
    <x v="1"/>
    <x v="2"/>
    <s v="MGF"/>
    <m/>
    <m/>
    <s v="Henry Jr Ifurung"/>
  </r>
  <r>
    <n v="1458"/>
    <s v="F2"/>
    <x v="50"/>
    <s v="H000005008"/>
    <s v="TR - Field Force Rare Diseases"/>
    <s v="H000005007"/>
    <s v="New"/>
    <x v="1"/>
    <x v="2"/>
    <s v="MGF"/>
    <m/>
    <m/>
    <s v="Henry Jr Ifurung"/>
  </r>
  <r>
    <n v="1459"/>
    <s v="F2"/>
    <x v="50"/>
    <s v="H000005009"/>
    <s v="TR - Marketing Rare Diseases"/>
    <s v="H000005007"/>
    <s v="New"/>
    <x v="1"/>
    <x v="2"/>
    <s v="MGF"/>
    <m/>
    <m/>
    <s v="Henry Jr Ifurung"/>
  </r>
  <r>
    <n v="1460"/>
    <s v="F2"/>
    <x v="50"/>
    <s v="H000005010"/>
    <s v="TR - Sales Promotion Rare Diseases"/>
    <s v="H000005007"/>
    <s v="New"/>
    <x v="1"/>
    <x v="2"/>
    <s v="MGF"/>
    <m/>
    <m/>
    <s v="Henry Jr Ifurung"/>
  </r>
  <r>
    <n v="1461"/>
    <s v="F2"/>
    <x v="50"/>
    <s v="H000005011"/>
    <s v="TR - Medical Rare Diseases"/>
    <s v="H000003490"/>
    <s v="New"/>
    <x v="1"/>
    <x v="2"/>
    <s v="MGF"/>
    <m/>
    <m/>
    <s v="Henry Jr Ifurung"/>
  </r>
  <r>
    <n v="1462"/>
    <s v="F2"/>
    <x v="50"/>
    <s v="H000005012"/>
    <s v="TR - Medical Team"/>
    <s v="H000005011"/>
    <s v="New"/>
    <x v="1"/>
    <x v="2"/>
    <s v="MGF"/>
    <m/>
    <m/>
    <s v="Henry Jr Ifurung"/>
  </r>
  <r>
    <n v="1463"/>
    <s v="F2"/>
    <x v="50"/>
    <s v="H000005013"/>
    <s v="TR - Medical Activities Non R&amp;D RD"/>
    <s v="H000005011"/>
    <s v="New"/>
    <x v="1"/>
    <x v="2"/>
    <s v="MGF"/>
    <m/>
    <m/>
    <s v="Henry Jr Ifurung"/>
  </r>
  <r>
    <n v="1464"/>
    <s v="F2"/>
    <x v="51"/>
    <s v="H000005014"/>
    <s v="Global Clinical Development"/>
    <s v="H000000955"/>
    <s v="New"/>
    <x v="1"/>
    <x v="2"/>
    <s v="MGF"/>
    <m/>
    <m/>
    <s v="Erjo Miguel Tagle"/>
  </r>
  <r>
    <n v="1465"/>
    <s v="F2"/>
    <x v="51"/>
    <s v="H000005015"/>
    <s v="Program Strategy and Leadership"/>
    <s v="H000000827"/>
    <s v="New"/>
    <x v="1"/>
    <x v="2"/>
    <s v="MGF"/>
    <m/>
    <m/>
    <s v="Erjo Miguel Tagle"/>
  </r>
  <r>
    <n v="1466"/>
    <s v="F2"/>
    <x v="51"/>
    <s v="H000004918"/>
    <m/>
    <s v="O000000009"/>
    <s v="Remove"/>
    <x v="1"/>
    <x v="2"/>
    <s v="MGF"/>
    <m/>
    <m/>
    <s v="Erjo Miguel Tagle"/>
  </r>
  <r>
    <n v="1467"/>
    <s v="F2"/>
    <x v="52"/>
    <s v="H000005016"/>
    <s v="120.12 Mirda+BGB-3245"/>
    <s v="H000004946"/>
    <s v="New"/>
    <x v="1"/>
    <x v="2"/>
    <s v="HC"/>
    <m/>
    <m/>
    <s v="Tina Kempe"/>
  </r>
  <r>
    <n v="1468"/>
    <s v="F2"/>
    <x v="52"/>
    <s v="H000005017"/>
    <s v="130.00 BGB-3245-No Program"/>
    <s v="H000004935 "/>
    <s v="New"/>
    <x v="1"/>
    <x v="2"/>
    <s v="HC"/>
    <m/>
    <m/>
    <s v="Tina Kempe"/>
  </r>
  <r>
    <n v="1469"/>
    <s v="F2"/>
    <x v="52"/>
    <s v="H000005018"/>
    <s v="510.10 TEAD-No Program"/>
    <s v="H000004936"/>
    <s v="New"/>
    <x v="1"/>
    <x v="2"/>
    <s v="HC"/>
    <m/>
    <m/>
    <s v="Tina Kempe"/>
  </r>
  <r>
    <n v="1470"/>
    <s v="F2"/>
    <x v="52"/>
    <s v="H000005019"/>
    <s v="510.11 TEAD SW-1656, AST"/>
    <s v="H000004936"/>
    <s v="New"/>
    <x v="1"/>
    <x v="2"/>
    <s v="HC"/>
    <m/>
    <m/>
    <s v="Tina Kempe"/>
  </r>
  <r>
    <n v="1471"/>
    <s v="F2"/>
    <x v="52"/>
    <s v="H000005020"/>
    <s v="550 VRK1"/>
    <s v="H000004932"/>
    <s v="New"/>
    <x v="1"/>
    <x v="2"/>
    <s v="HC"/>
    <m/>
    <m/>
    <s v="Tina Kempe"/>
  </r>
  <r>
    <n v="1472"/>
    <s v="F2"/>
    <x v="52"/>
    <s v="H000005021"/>
    <s v="550.00 VRK1 |No Program"/>
    <s v="H000005020"/>
    <s v="New"/>
    <x v="1"/>
    <x v="2"/>
    <s v="HC"/>
    <m/>
    <m/>
    <s v="Tina Kempe"/>
  </r>
  <r>
    <n v="1473"/>
    <s v="F2"/>
    <x v="52"/>
    <s v="H000005022"/>
    <s v="900 Capital Projects"/>
    <s v="H000004932"/>
    <s v="New"/>
    <x v="1"/>
    <x v="2"/>
    <s v="HC"/>
    <m/>
    <m/>
    <s v="Tina Kempe"/>
  </r>
  <r>
    <n v="1474"/>
    <s v="F2"/>
    <x v="52"/>
    <s v="H000005023"/>
    <s v="910  IT Projects"/>
    <s v="H000004932"/>
    <s v="New"/>
    <x v="1"/>
    <x v="2"/>
    <s v="HC"/>
    <m/>
    <m/>
    <s v="Tina Kempe"/>
  </r>
  <r>
    <n v="1475"/>
    <s v="F2"/>
    <x v="52"/>
    <s v="H000005024"/>
    <s v="920 Other Opex Projects"/>
    <s v="H000004932"/>
    <s v="New"/>
    <x v="1"/>
    <x v="2"/>
    <s v="HC"/>
    <m/>
    <m/>
    <s v="Tina Kempe"/>
  </r>
  <r>
    <n v="1476"/>
    <s v="F2"/>
    <x v="52"/>
    <s v="H000005025"/>
    <s v="General allocation SW"/>
    <s v="H000004932"/>
    <s v="New"/>
    <x v="1"/>
    <x v="2"/>
    <s v="HC"/>
    <m/>
    <m/>
    <s v="Tina Kempe"/>
  </r>
  <r>
    <n v="1477"/>
    <s v="F2"/>
    <x v="52"/>
    <s v="H000005026"/>
    <s v="SW Integration - exeptionals"/>
    <s v="H000000974"/>
    <s v="New"/>
    <x v="1"/>
    <x v="2"/>
    <s v="HC"/>
    <m/>
    <m/>
    <s v="Tina Kempe"/>
  </r>
  <r>
    <n v="1478"/>
    <s v="F2"/>
    <x v="53"/>
    <s v="H000004396"/>
    <m/>
    <s v="H000004956"/>
    <s v="Move"/>
    <x v="1"/>
    <x v="2"/>
    <m/>
    <m/>
    <m/>
    <s v="Henry Jr Ifurung"/>
  </r>
  <r>
    <n v="1479"/>
    <s v="F2"/>
    <x v="54"/>
    <s v="H000005027"/>
    <s v="Research &amp; Development"/>
    <s v="H000000000"/>
    <s v="New"/>
    <x v="1"/>
    <x v="2"/>
    <s v="HC"/>
    <m/>
    <m/>
    <m/>
  </r>
  <r>
    <n v="1480"/>
    <s v="F2"/>
    <x v="54"/>
    <s v="H000005028"/>
    <s v="Local Medical"/>
    <s v="H000005027"/>
    <s v="New"/>
    <x v="1"/>
    <x v="2"/>
    <s v="HC"/>
    <m/>
    <m/>
    <m/>
  </r>
  <r>
    <n v="1481"/>
    <s v="F2"/>
    <x v="54"/>
    <s v="H000005029"/>
    <s v="Non R&amp;D Local Medical"/>
    <s v="H000005027"/>
    <s v="New"/>
    <x v="1"/>
    <x v="2"/>
    <s v="HC"/>
    <m/>
    <m/>
    <m/>
  </r>
  <r>
    <n v="1482"/>
    <s v="F2"/>
    <x v="54"/>
    <s v="H000005030"/>
    <s v="Local R&amp;D Direct Costs"/>
    <s v="H000005028"/>
    <s v="New"/>
    <x v="1"/>
    <x v="2"/>
    <s v="HC"/>
    <m/>
    <m/>
    <m/>
  </r>
  <r>
    <n v="1483"/>
    <s v="F2"/>
    <x v="54"/>
    <s v="H000005031"/>
    <s v="Local R&amp;D other"/>
    <s v="H000005028"/>
    <s v="New"/>
    <x v="1"/>
    <x v="2"/>
    <s v="HC"/>
    <m/>
    <m/>
    <m/>
  </r>
  <r>
    <n v="1484"/>
    <s v="F2"/>
    <x v="54"/>
    <s v="H000005032"/>
    <s v="Local R&amp;D Indirect Costs"/>
    <s v="H000005028"/>
    <s v="New"/>
    <x v="1"/>
    <x v="2"/>
    <s v="HC"/>
    <m/>
    <m/>
    <m/>
  </r>
  <r>
    <n v="1485"/>
    <s v="F2"/>
    <x v="54"/>
    <s v="H000000687"/>
    <s v="Global R&amp;D"/>
    <m/>
    <s v="Rename"/>
    <x v="1"/>
    <x v="2"/>
    <m/>
    <m/>
    <m/>
    <m/>
  </r>
  <r>
    <n v="1486"/>
    <s v="F2"/>
    <x v="54"/>
    <s v="H000000688"/>
    <s v="Global R&amp;D Direct Costs"/>
    <m/>
    <s v="Rename"/>
    <x v="1"/>
    <x v="2"/>
    <m/>
    <m/>
    <m/>
    <m/>
  </r>
  <r>
    <n v="1487"/>
    <s v="F2"/>
    <x v="54"/>
    <s v="H000000974"/>
    <s v="Global R&amp;D other"/>
    <m/>
    <s v="Rename"/>
    <x v="1"/>
    <x v="2"/>
    <m/>
    <m/>
    <m/>
    <m/>
  </r>
  <r>
    <n v="1488"/>
    <s v="F2"/>
    <x v="54"/>
    <s v="H000000975"/>
    <s v="Global R&amp;D Indirect Costs"/>
    <m/>
    <s v="Rename"/>
    <x v="1"/>
    <x v="2"/>
    <m/>
    <m/>
    <m/>
    <m/>
  </r>
  <r>
    <n v="1489"/>
    <s v="F2"/>
    <x v="55"/>
    <s v="H000005033"/>
    <s v="CA - Rare (Commercial)"/>
    <s v="H000003901"/>
    <s v="New"/>
    <x v="1"/>
    <x v="2"/>
    <s v="HC"/>
    <m/>
    <m/>
    <m/>
  </r>
  <r>
    <n v="1490"/>
    <s v="F2"/>
    <x v="55"/>
    <s v="H000005034"/>
    <s v="CA - People/OH (Rare Comm)"/>
    <s v="H000005033"/>
    <s v="New"/>
    <x v="1"/>
    <x v="2"/>
    <s v="HC"/>
    <m/>
    <m/>
    <m/>
  </r>
  <r>
    <n v="1491"/>
    <s v="F2"/>
    <x v="55"/>
    <s v="H000005035"/>
    <s v="CA - People/OH FF (Rare Comm)"/>
    <s v="H000005034"/>
    <s v="New"/>
    <x v="1"/>
    <x v="2"/>
    <s v="HC"/>
    <m/>
    <m/>
    <m/>
  </r>
  <r>
    <n v="1492"/>
    <s v="F2"/>
    <x v="55"/>
    <s v="H000005036"/>
    <s v="CA - People/OH ISS (Rare Comm)"/>
    <s v="H000005034"/>
    <s v="New"/>
    <x v="1"/>
    <x v="2"/>
    <s v="HC"/>
    <m/>
    <m/>
    <m/>
  </r>
  <r>
    <n v="1493"/>
    <s v="F2"/>
    <x v="55"/>
    <s v="H000005037"/>
    <s v="CA - Program (Rare Comm)"/>
    <s v="H000005033"/>
    <s v="New"/>
    <x v="1"/>
    <x v="2"/>
    <s v="HC"/>
    <m/>
    <m/>
    <m/>
  </r>
  <r>
    <n v="1494"/>
    <s v="F2"/>
    <x v="55"/>
    <s v="H000005038"/>
    <s v="CA - Rare (Medical)"/>
    <s v="H000003921"/>
    <s v="New"/>
    <x v="1"/>
    <x v="2"/>
    <s v="HC"/>
    <m/>
    <m/>
    <m/>
  </r>
  <r>
    <n v="1495"/>
    <s v="F2"/>
    <x v="55"/>
    <s v="H000005039"/>
    <s v="CA - People/OH (Rare Med)"/>
    <s v="H000005038"/>
    <s v="New"/>
    <x v="1"/>
    <x v="2"/>
    <s v="HC"/>
    <m/>
    <m/>
    <m/>
  </r>
  <r>
    <n v="1496"/>
    <s v="F2"/>
    <x v="55"/>
    <s v="H000005040"/>
    <s v="CA - TA Direct Med (Rare)"/>
    <s v="H000005039"/>
    <s v="New"/>
    <x v="1"/>
    <x v="2"/>
    <s v="HC"/>
    <m/>
    <m/>
    <m/>
  </r>
  <r>
    <n v="1497"/>
    <s v="F2"/>
    <x v="55"/>
    <s v="H000005041"/>
    <s v="CA - Med Non-R&amp;D (Rare)"/>
    <s v="H000005039"/>
    <s v="New"/>
    <x v="1"/>
    <x v="2"/>
    <s v="HC"/>
    <m/>
    <m/>
    <m/>
  </r>
  <r>
    <n v="1498"/>
    <s v="F2"/>
    <x v="55"/>
    <s v="H000005042"/>
    <s v="CA - Program (Rare Med)"/>
    <s v="H000005038"/>
    <s v="New"/>
    <x v="1"/>
    <x v="2"/>
    <s v="HC"/>
    <m/>
    <m/>
    <m/>
  </r>
  <r>
    <n v="1499"/>
    <s v="F2"/>
    <x v="56"/>
    <s v="H000005043"/>
    <s v="US - Rare Diseases"/>
    <s v="H000003643"/>
    <s v="New"/>
    <x v="1"/>
    <x v="2"/>
    <s v="HC"/>
    <m/>
    <m/>
    <m/>
  </r>
  <r>
    <n v="1500"/>
    <s v="F2"/>
    <x v="56"/>
    <s v="H000005044"/>
    <s v="US - Rare Diseases - People/OH"/>
    <s v="H000005043"/>
    <s v="New"/>
    <x v="1"/>
    <x v="2"/>
    <s v="HC"/>
    <m/>
    <m/>
    <m/>
  </r>
  <r>
    <n v="1501"/>
    <s v="F2"/>
    <x v="56"/>
    <s v="H000005045"/>
    <s v="US - Rare Diseases - Field"/>
    <s v="H000005044"/>
    <s v="New"/>
    <x v="1"/>
    <x v="2"/>
    <s v="HC"/>
    <m/>
    <m/>
    <m/>
  </r>
  <r>
    <n v="1502"/>
    <s v="F2"/>
    <x v="56"/>
    <s v="H000005046"/>
    <s v="US - Rare Diseases - ISS/Marketing"/>
    <s v="H000005044"/>
    <s v="New"/>
    <x v="1"/>
    <x v="2"/>
    <s v="HC"/>
    <m/>
    <m/>
    <m/>
  </r>
  <r>
    <n v="1503"/>
    <s v="F2"/>
    <x v="56"/>
    <s v="H000005047"/>
    <s v="US - Rare Diseases - Admin"/>
    <s v="H000005044"/>
    <s v="New"/>
    <x v="1"/>
    <x v="2"/>
    <s v="HC"/>
    <m/>
    <m/>
    <m/>
  </r>
  <r>
    <n v="1504"/>
    <s v="F2"/>
    <x v="56"/>
    <s v="H000005048"/>
    <s v="US - Rare Diseases - Program"/>
    <s v="H000005043"/>
    <s v="New"/>
    <x v="1"/>
    <x v="2"/>
    <s v="HC"/>
    <m/>
    <m/>
    <m/>
  </r>
  <r>
    <n v="1505"/>
    <s v="F2"/>
    <x v="56"/>
    <s v="H000005049"/>
    <s v="US - Rare Diseases - Field Program"/>
    <s v="H000005048"/>
    <s v="New"/>
    <x v="1"/>
    <x v="2"/>
    <s v="HC"/>
    <m/>
    <m/>
    <m/>
  </r>
  <r>
    <n v="1506"/>
    <s v="F2"/>
    <x v="56"/>
    <s v="H000005050"/>
    <s v="US - Rare Diseases - Marketing Admin"/>
    <s v="H000005048"/>
    <s v="New"/>
    <x v="1"/>
    <x v="2"/>
    <s v="HC"/>
    <m/>
    <m/>
    <m/>
  </r>
  <r>
    <n v="1507"/>
    <s v="F2"/>
    <x v="56"/>
    <s v="H000005051"/>
    <s v="US - Rare Diseases - Brand Marketing"/>
    <s v="H000005048"/>
    <s v="New"/>
    <x v="1"/>
    <x v="2"/>
    <s v="HC"/>
    <m/>
    <m/>
    <m/>
  </r>
  <r>
    <n v="1508"/>
    <s v="F2"/>
    <x v="56"/>
    <s v="H000005052"/>
    <s v="US - Rare Diseases - Other M&amp;S - FDA Fee"/>
    <s v="H000005048"/>
    <s v="New"/>
    <x v="1"/>
    <x v="2"/>
    <s v="HC"/>
    <m/>
    <m/>
    <m/>
  </r>
  <r>
    <n v="1509"/>
    <s v="F2"/>
    <x v="56"/>
    <s v="H000005053"/>
    <s v="US - Rare Diseases - MAPS Patient Access"/>
    <s v="H000005048"/>
    <s v="New"/>
    <x v="1"/>
    <x v="2"/>
    <s v="HC"/>
    <m/>
    <m/>
    <m/>
  </r>
  <r>
    <n v="1510"/>
    <s v="F2"/>
    <x v="56"/>
    <s v="H000005054"/>
    <s v="US - Rare Diseases - MAPS - Access Mktg"/>
    <s v="H000005048"/>
    <s v="New"/>
    <x v="1"/>
    <x v="2"/>
    <s v="HC"/>
    <m/>
    <m/>
    <m/>
  </r>
  <r>
    <n v="1511"/>
    <s v="F2"/>
    <x v="56"/>
    <s v="H000005055"/>
    <s v="US - Rare Diseases - OE&amp;I"/>
    <s v="H000005048"/>
    <s v="New"/>
    <x v="1"/>
    <x v="2"/>
    <s v="HC"/>
    <m/>
    <m/>
    <m/>
  </r>
  <r>
    <n v="1512"/>
    <s v="F2"/>
    <x v="56"/>
    <s v="H000005056"/>
    <s v="US - Rare Diseases"/>
    <s v="H000003732"/>
    <s v="New"/>
    <x v="1"/>
    <x v="2"/>
    <s v="HC"/>
    <m/>
    <m/>
    <m/>
  </r>
  <r>
    <n v="1513"/>
    <s v="F2"/>
    <x v="56"/>
    <s v="H000005057"/>
    <s v="US - Rare Diseases - People/OH"/>
    <s v="H000005056"/>
    <s v="New"/>
    <x v="1"/>
    <x v="2"/>
    <s v="HC"/>
    <m/>
    <m/>
    <m/>
  </r>
  <r>
    <n v="1514"/>
    <s v="F2"/>
    <x v="56"/>
    <s v="H000005058"/>
    <s v="US - Rare Diseases - LR&amp;D"/>
    <s v="H000005057"/>
    <s v="New"/>
    <x v="1"/>
    <x v="2"/>
    <s v="HC"/>
    <m/>
    <m/>
    <m/>
  </r>
  <r>
    <n v="1515"/>
    <s v="F2"/>
    <x v="56"/>
    <s v="H000005059"/>
    <s v="US - Rare Diseases - Program"/>
    <s v="H000005056"/>
    <s v="New"/>
    <x v="1"/>
    <x v="2"/>
    <s v="HC"/>
    <m/>
    <m/>
    <m/>
  </r>
  <r>
    <n v="1516"/>
    <s v="F2"/>
    <x v="56"/>
    <s v="H000005060"/>
    <s v="US - Rare Diseases - MSL Training"/>
    <s v="H000005059"/>
    <s v="New"/>
    <x v="1"/>
    <x v="2"/>
    <s v="HC"/>
    <m/>
    <m/>
    <m/>
  </r>
  <r>
    <n v="1517"/>
    <s v="F2"/>
    <x v="56"/>
    <s v="H000005061"/>
    <s v="US - Rare Diseases - Congresses"/>
    <s v="H000005059"/>
    <s v="New"/>
    <x v="1"/>
    <x v="2"/>
    <s v="HC"/>
    <m/>
    <m/>
    <m/>
  </r>
  <r>
    <n v="1518"/>
    <s v="F2"/>
    <x v="56"/>
    <s v="H000005062"/>
    <s v="US - Rare Diseases - Consulting"/>
    <s v="H000005059"/>
    <s v="New"/>
    <x v="1"/>
    <x v="2"/>
    <s v="HC"/>
    <m/>
    <m/>
    <m/>
  </r>
  <r>
    <n v="1519"/>
    <s v="F2"/>
    <x v="56"/>
    <s v="H000005063"/>
    <s v="US - Rare Diseases - Med Comm, Pubs"/>
    <s v="H000005059"/>
    <s v="New"/>
    <x v="1"/>
    <x v="2"/>
    <s v="HC"/>
    <m/>
    <m/>
    <m/>
  </r>
  <r>
    <n v="1520"/>
    <s v="F2"/>
    <x v="56"/>
    <s v="H000005064"/>
    <s v="US - Rare Diseases - Medical Info"/>
    <s v="H000005059"/>
    <s v="New"/>
    <x v="1"/>
    <x v="2"/>
    <s v="HC"/>
    <m/>
    <m/>
    <m/>
  </r>
  <r>
    <n v="1521"/>
    <s v="F2"/>
    <x v="56"/>
    <s v="H000005065"/>
    <s v="US - Rare Diseases - NEVD"/>
    <s v="H000005059"/>
    <s v="New"/>
    <x v="1"/>
    <x v="2"/>
    <s v="HC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2" firstHeaderRow="1" firstDataRow="1" firstDataCol="1" rowPageCount="1" colPageCount="1"/>
  <pivotFields count="13">
    <pivotField showAll="0"/>
    <pivotField showAll="0"/>
    <pivotField axis="axisRow" showAll="0">
      <items count="149">
        <item m="1" x="84"/>
        <item m="1" x="126"/>
        <item m="1" x="143"/>
        <item m="1" x="137"/>
        <item m="1" x="122"/>
        <item m="1" x="80"/>
        <item m="1" x="88"/>
        <item m="1" x="113"/>
        <item m="1" x="110"/>
        <item m="1" x="60"/>
        <item m="1" x="144"/>
        <item m="1" x="102"/>
        <item m="1" x="83"/>
        <item m="1" x="91"/>
        <item m="1" x="95"/>
        <item m="1" x="65"/>
        <item m="1" x="97"/>
        <item m="1" x="66"/>
        <item m="1" x="132"/>
        <item m="1" x="78"/>
        <item m="1" x="127"/>
        <item m="1" x="141"/>
        <item m="1" x="69"/>
        <item m="1" x="135"/>
        <item m="1" x="106"/>
        <item m="1" x="93"/>
        <item m="1" x="81"/>
        <item m="1" x="89"/>
        <item m="1" x="128"/>
        <item m="1" x="120"/>
        <item m="1" x="76"/>
        <item m="1" x="104"/>
        <item m="1" x="111"/>
        <item m="1" x="124"/>
        <item m="1" x="62"/>
        <item m="1" x="121"/>
        <item m="1" x="109"/>
        <item m="1" x="68"/>
        <item m="1" x="139"/>
        <item m="1" x="82"/>
        <item m="1" x="142"/>
        <item m="1" x="133"/>
        <item m="1" x="79"/>
        <item m="1" x="61"/>
        <item m="1" x="59"/>
        <item m="1" x="131"/>
        <item m="1" x="105"/>
        <item m="1" x="92"/>
        <item m="1" x="130"/>
        <item m="1" x="101"/>
        <item m="1" x="64"/>
        <item m="1" x="138"/>
        <item m="1" x="103"/>
        <item m="1" x="63"/>
        <item m="1" x="114"/>
        <item m="1" x="98"/>
        <item m="1" x="73"/>
        <item m="1" x="99"/>
        <item m="1" x="123"/>
        <item m="1" x="74"/>
        <item m="1" x="147"/>
        <item m="1" x="94"/>
        <item m="1" x="70"/>
        <item m="1" x="75"/>
        <item m="1" x="72"/>
        <item m="1" x="119"/>
        <item m="1" x="100"/>
        <item m="1" x="112"/>
        <item m="1" x="85"/>
        <item m="1" x="118"/>
        <item m="1" x="108"/>
        <item m="1" x="90"/>
        <item m="1" x="86"/>
        <item m="1" x="129"/>
        <item m="1" x="134"/>
        <item m="1" x="115"/>
        <item m="1" x="107"/>
        <item m="1" x="71"/>
        <item m="1" x="58"/>
        <item m="1" x="146"/>
        <item m="1" x="125"/>
        <item m="1" x="67"/>
        <item m="1" x="145"/>
        <item m="1" x="117"/>
        <item m="1" x="140"/>
        <item m="1" x="136"/>
        <item m="1" x="96"/>
        <item m="1" x="77"/>
        <item m="1" x="87"/>
        <item m="1" x="1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57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29">
    <i>
      <x v="132"/>
    </i>
    <i r="1">
      <x v="3"/>
    </i>
    <i>
      <x v="134"/>
    </i>
    <i r="1">
      <x v="3"/>
    </i>
    <i>
      <x v="135"/>
    </i>
    <i r="1">
      <x v="3"/>
    </i>
    <i>
      <x v="137"/>
    </i>
    <i r="1">
      <x v="3"/>
    </i>
    <i>
      <x v="138"/>
    </i>
    <i r="1">
      <x v="3"/>
    </i>
    <i>
      <x v="139"/>
    </i>
    <i r="1">
      <x v="3"/>
    </i>
    <i>
      <x v="140"/>
    </i>
    <i r="1">
      <x v="3"/>
    </i>
    <i>
      <x v="141"/>
    </i>
    <i r="1">
      <x v="3"/>
    </i>
    <i>
      <x v="142"/>
    </i>
    <i r="1">
      <x v="3"/>
    </i>
    <i>
      <x v="143"/>
    </i>
    <i r="1">
      <x v="3"/>
    </i>
    <i>
      <x v="144"/>
    </i>
    <i r="1">
      <x v="3"/>
    </i>
    <i>
      <x v="145"/>
    </i>
    <i r="1">
      <x v="3"/>
    </i>
    <i>
      <x v="146"/>
    </i>
    <i r="1">
      <x v="3"/>
    </i>
    <i>
      <x v="147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22" totalsRowShown="0">
  <autoFilter ref="A1:M1522" xr:uid="{00000000-000C-0000-FFFF-FFFF00000000}">
    <filterColumn colId="7">
      <filters blank="1"/>
    </filterColumn>
  </autoFilter>
  <tableColumns count="13">
    <tableColumn id="1" xr3:uid="{00000000-0010-0000-0000-000001000000}" name="No." dataDxfId="47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6">
      <calculatedColumnFormula>IFERROR(VLOOKUP(Table2[[#This Row], [Ticket]],Okey!A:B,2,0),"")</calculatedColumnFormula>
    </tableColumn>
    <tableColumn id="9" xr3:uid="{00000000-0010-0000-0000-000009000000}" name="STATUS Check" dataDxfId="45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44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32"/>
  <sheetViews>
    <sheetView tabSelected="1" workbookViewId="0">
      <selection activeCell="C22" sqref="C22"/>
    </sheetView>
  </sheetViews>
  <sheetFormatPr defaultRowHeight="15"/>
  <cols>
    <col min="1" max="1" width="23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9476</v>
      </c>
      <c r="B4" s="44">
        <v>38</v>
      </c>
    </row>
    <row r="5" spans="1:2">
      <c r="A5" s="67" t="s">
        <v>9720</v>
      </c>
      <c r="B5" s="44">
        <v>38</v>
      </c>
    </row>
    <row r="6" spans="1:2">
      <c r="A6" s="32" t="s">
        <v>9518</v>
      </c>
      <c r="B6" s="44">
        <v>10</v>
      </c>
    </row>
    <row r="7" spans="1:2">
      <c r="A7" s="67" t="s">
        <v>9720</v>
      </c>
      <c r="B7" s="44">
        <v>10</v>
      </c>
    </row>
    <row r="8" spans="1:2">
      <c r="A8" s="32" t="s">
        <v>9541</v>
      </c>
      <c r="B8" s="44">
        <v>1</v>
      </c>
    </row>
    <row r="9" spans="1:2">
      <c r="A9" s="67" t="s">
        <v>9720</v>
      </c>
      <c r="B9" s="44">
        <v>1</v>
      </c>
    </row>
    <row r="10" spans="1:2">
      <c r="A10" s="32" t="s">
        <v>9546</v>
      </c>
      <c r="B10" s="44">
        <v>1</v>
      </c>
    </row>
    <row r="11" spans="1:2">
      <c r="A11" s="67" t="s">
        <v>9720</v>
      </c>
      <c r="B11" s="44">
        <v>1</v>
      </c>
    </row>
    <row r="12" spans="1:2">
      <c r="A12" s="32" t="s">
        <v>9554</v>
      </c>
      <c r="B12" s="44">
        <v>6</v>
      </c>
    </row>
    <row r="13" spans="1:2">
      <c r="A13" s="67" t="s">
        <v>9720</v>
      </c>
      <c r="B13" s="44">
        <v>6</v>
      </c>
    </row>
    <row r="14" spans="1:2">
      <c r="A14" s="32" t="s">
        <v>9556</v>
      </c>
      <c r="B14" s="44">
        <v>22</v>
      </c>
    </row>
    <row r="15" spans="1:2">
      <c r="A15" s="67" t="s">
        <v>9720</v>
      </c>
      <c r="B15" s="44">
        <v>22</v>
      </c>
    </row>
    <row r="16" spans="1:2">
      <c r="A16" s="32" t="s">
        <v>9577</v>
      </c>
      <c r="B16" s="44">
        <v>1</v>
      </c>
    </row>
    <row r="17" spans="1:2">
      <c r="A17" s="67" t="s">
        <v>9720</v>
      </c>
      <c r="B17" s="44">
        <v>1</v>
      </c>
    </row>
    <row r="18" spans="1:2">
      <c r="A18" s="32" t="s">
        <v>9580</v>
      </c>
      <c r="B18" s="44">
        <v>7</v>
      </c>
    </row>
    <row r="19" spans="1:2">
      <c r="A19" s="67" t="s">
        <v>9720</v>
      </c>
      <c r="B19" s="44">
        <v>7</v>
      </c>
    </row>
    <row r="20" spans="1:2">
      <c r="A20" s="32" t="s">
        <v>9592</v>
      </c>
      <c r="B20" s="44">
        <v>3</v>
      </c>
    </row>
    <row r="21" spans="1:2">
      <c r="A21" s="67" t="s">
        <v>9720</v>
      </c>
      <c r="B21" s="44">
        <v>3</v>
      </c>
    </row>
    <row r="22" spans="1:2">
      <c r="A22" s="32" t="s">
        <v>9605</v>
      </c>
      <c r="B22" s="44">
        <v>11</v>
      </c>
    </row>
    <row r="23" spans="1:2">
      <c r="A23" s="67" t="s">
        <v>9720</v>
      </c>
      <c r="B23" s="44">
        <v>11</v>
      </c>
    </row>
    <row r="24" spans="1:2">
      <c r="A24" s="32" t="s">
        <v>9607</v>
      </c>
      <c r="B24" s="44">
        <v>1</v>
      </c>
    </row>
    <row r="25" spans="1:2">
      <c r="A25" s="67" t="s">
        <v>9720</v>
      </c>
      <c r="B25" s="44">
        <v>1</v>
      </c>
    </row>
    <row r="26" spans="1:2">
      <c r="A26" s="32" t="s">
        <v>9608</v>
      </c>
      <c r="B26" s="44">
        <v>10</v>
      </c>
    </row>
    <row r="27" spans="1:2">
      <c r="A27" s="67" t="s">
        <v>9720</v>
      </c>
      <c r="B27" s="44">
        <v>10</v>
      </c>
    </row>
    <row r="28" spans="1:2">
      <c r="A28" s="32" t="s">
        <v>9621</v>
      </c>
      <c r="B28" s="44">
        <v>10</v>
      </c>
    </row>
    <row r="29" spans="1:2">
      <c r="A29" s="67" t="s">
        <v>9720</v>
      </c>
      <c r="B29" s="44">
        <v>10</v>
      </c>
    </row>
    <row r="30" spans="1:2">
      <c r="A30" s="32" t="s">
        <v>9632</v>
      </c>
      <c r="B30" s="44">
        <v>23</v>
      </c>
    </row>
    <row r="31" spans="1:2">
      <c r="A31" s="67" t="s">
        <v>9720</v>
      </c>
      <c r="B31" s="44">
        <v>23</v>
      </c>
    </row>
    <row r="32" spans="1:2">
      <c r="A32" s="32" t="s">
        <v>10</v>
      </c>
      <c r="B32" s="44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29"/>
  <sheetViews>
    <sheetView topLeftCell="A293" workbookViewId="0">
      <selection activeCell="B329" sqref="B329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22"/>
  <sheetViews>
    <sheetView zoomScale="85" zoomScaleNormal="85" workbookViewId="0">
      <selection activeCell="I1" sqref="I1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/>
      </c>
      <c r="I1377" s="36" t="s">
        <v>9720</v>
      </c>
      <c r="J1377" s="36" t="s">
        <v>19</v>
      </c>
      <c r="L1377" s="36"/>
      <c r="M1377" s="9" t="s">
        <v>9515</v>
      </c>
    </row>
    <row r="1378" spans="1:13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/>
      </c>
      <c r="I1378" s="36" t="s">
        <v>9720</v>
      </c>
      <c r="J1378" s="36" t="s">
        <v>19</v>
      </c>
      <c r="L1378" s="36"/>
      <c r="M1378" s="36" t="s">
        <v>9515</v>
      </c>
    </row>
    <row r="1379" spans="1:13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/>
      </c>
      <c r="I1379" s="36" t="s">
        <v>9720</v>
      </c>
      <c r="J1379" s="36" t="s">
        <v>19</v>
      </c>
      <c r="L1379" s="36"/>
      <c r="M1379" s="36" t="s">
        <v>9515</v>
      </c>
    </row>
    <row r="1380" spans="1:13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/>
      </c>
      <c r="I1380" s="36" t="s">
        <v>9720</v>
      </c>
      <c r="J1380" s="36" t="s">
        <v>19</v>
      </c>
      <c r="L1380" s="36"/>
      <c r="M1380" s="36" t="s">
        <v>9515</v>
      </c>
    </row>
    <row r="1381" spans="1:13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/>
      </c>
      <c r="I1381" s="36" t="s">
        <v>9720</v>
      </c>
      <c r="J1381" s="36" t="s">
        <v>19</v>
      </c>
      <c r="L1381" s="36"/>
      <c r="M1381" s="36" t="s">
        <v>9515</v>
      </c>
    </row>
    <row r="1382" spans="1:13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/>
      </c>
      <c r="I1382" s="36" t="s">
        <v>9720</v>
      </c>
      <c r="J1382" s="36" t="s">
        <v>19</v>
      </c>
      <c r="L1382" s="36"/>
      <c r="M1382" s="36" t="s">
        <v>9515</v>
      </c>
    </row>
    <row r="1383" spans="1:13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/>
      </c>
      <c r="I1383" s="36" t="s">
        <v>9720</v>
      </c>
      <c r="J1383" s="36" t="s">
        <v>19</v>
      </c>
      <c r="L1383" s="36"/>
      <c r="M1383" s="36" t="s">
        <v>9515</v>
      </c>
    </row>
    <row r="1384" spans="1:13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/>
      </c>
      <c r="I1384" s="36" t="s">
        <v>9720</v>
      </c>
      <c r="J1384" s="36" t="s">
        <v>19</v>
      </c>
      <c r="L1384" s="36"/>
      <c r="M1384" s="36" t="s">
        <v>9515</v>
      </c>
    </row>
    <row r="1385" spans="1:13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/>
      </c>
      <c r="I1385" s="36" t="s">
        <v>9720</v>
      </c>
      <c r="J1385" s="36" t="s">
        <v>19</v>
      </c>
      <c r="L1385" s="36"/>
      <c r="M1385" s="36" t="s">
        <v>9515</v>
      </c>
    </row>
    <row r="1386" spans="1:13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/>
      </c>
      <c r="I1386" s="36" t="s">
        <v>9720</v>
      </c>
      <c r="J1386" s="36" t="s">
        <v>19</v>
      </c>
      <c r="L1386" s="36"/>
      <c r="M1386" s="36" t="s">
        <v>9515</v>
      </c>
    </row>
    <row r="1387" spans="1:13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/>
      </c>
      <c r="I1387" s="36" t="s">
        <v>9720</v>
      </c>
      <c r="J1387" s="36" t="s">
        <v>19</v>
      </c>
      <c r="L1387" s="36"/>
      <c r="M1387" s="36" t="s">
        <v>9515</v>
      </c>
    </row>
    <row r="1388" spans="1:13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/>
      </c>
      <c r="I1388" s="36" t="s">
        <v>9720</v>
      </c>
      <c r="J1388" s="36" t="s">
        <v>19</v>
      </c>
      <c r="L1388" s="36"/>
      <c r="M1388" s="36" t="s">
        <v>9515</v>
      </c>
    </row>
    <row r="1389" spans="1:13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/>
      </c>
      <c r="I1389" s="36" t="s">
        <v>9720</v>
      </c>
      <c r="J1389" s="36" t="s">
        <v>19</v>
      </c>
      <c r="L1389" s="36"/>
      <c r="M1389" s="36" t="s">
        <v>9515</v>
      </c>
    </row>
    <row r="1390" spans="1:13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/>
      </c>
      <c r="I1390" s="36" t="s">
        <v>9720</v>
      </c>
      <c r="J1390" s="36" t="s">
        <v>19</v>
      </c>
      <c r="L1390" s="36"/>
      <c r="M1390" s="36" t="s">
        <v>9515</v>
      </c>
    </row>
    <row r="1391" spans="1:13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/>
      </c>
      <c r="I1391" s="36" t="s">
        <v>9720</v>
      </c>
      <c r="J1391" s="36" t="s">
        <v>19</v>
      </c>
      <c r="L1391" s="36"/>
      <c r="M1391" s="36" t="s">
        <v>9515</v>
      </c>
    </row>
    <row r="1392" spans="1:13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/>
      </c>
      <c r="I1392" s="36" t="s">
        <v>9720</v>
      </c>
      <c r="J1392" s="36" t="s">
        <v>19</v>
      </c>
      <c r="L1392" s="36"/>
      <c r="M1392" s="36" t="s">
        <v>9515</v>
      </c>
    </row>
    <row r="1393" spans="1:13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/>
      </c>
      <c r="I1393" s="36" t="s">
        <v>9720</v>
      </c>
      <c r="J1393" s="36" t="s">
        <v>19</v>
      </c>
      <c r="L1393" s="36"/>
      <c r="M1393" s="36" t="s">
        <v>9515</v>
      </c>
    </row>
    <row r="1394" spans="1:13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/>
      </c>
      <c r="I1394" s="36" t="s">
        <v>9720</v>
      </c>
      <c r="J1394" s="36" t="s">
        <v>19</v>
      </c>
      <c r="L1394" s="36"/>
      <c r="M1394" s="36" t="s">
        <v>9515</v>
      </c>
    </row>
    <row r="1395" spans="1:13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/>
      </c>
      <c r="I1395" s="36" t="s">
        <v>9720</v>
      </c>
      <c r="J1395" s="36" t="s">
        <v>19</v>
      </c>
      <c r="L1395" s="36"/>
      <c r="M1395" s="36" t="s">
        <v>9515</v>
      </c>
    </row>
    <row r="1396" spans="1:13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/>
      </c>
      <c r="I1396" s="36" t="s">
        <v>9720</v>
      </c>
      <c r="J1396" s="36" t="s">
        <v>19</v>
      </c>
      <c r="L1396" s="36"/>
      <c r="M1396" s="36" t="s">
        <v>9515</v>
      </c>
    </row>
    <row r="1397" spans="1:13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/>
      </c>
      <c r="I1397" s="36" t="s">
        <v>9720</v>
      </c>
      <c r="J1397" s="36" t="s">
        <v>19</v>
      </c>
      <c r="L1397" s="36"/>
      <c r="M1397" s="36" t="s">
        <v>9515</v>
      </c>
    </row>
    <row r="1398" spans="1:13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/>
      </c>
      <c r="I1398" s="36" t="s">
        <v>9720</v>
      </c>
      <c r="J1398" s="36" t="s">
        <v>19</v>
      </c>
      <c r="L1398" s="36"/>
      <c r="M1398" s="36" t="s">
        <v>9515</v>
      </c>
    </row>
    <row r="1399" spans="1:13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/>
      </c>
      <c r="I1399" s="36" t="s">
        <v>9720</v>
      </c>
      <c r="J1399" s="36" t="s">
        <v>19</v>
      </c>
      <c r="L1399" s="36"/>
      <c r="M1399" s="36" t="s">
        <v>9515</v>
      </c>
    </row>
    <row r="1400" spans="1:13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/>
      </c>
      <c r="I1400" s="36" t="s">
        <v>9720</v>
      </c>
      <c r="J1400" s="36" t="s">
        <v>19</v>
      </c>
      <c r="L1400" s="36"/>
      <c r="M1400" s="36" t="s">
        <v>9515</v>
      </c>
    </row>
    <row r="1401" spans="1:13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/>
      </c>
      <c r="I1401" s="36" t="s">
        <v>9720</v>
      </c>
      <c r="J1401" s="36" t="s">
        <v>19</v>
      </c>
      <c r="L1401" s="36"/>
      <c r="M1401" s="36" t="s">
        <v>9515</v>
      </c>
    </row>
    <row r="1402" spans="1:13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/>
      </c>
      <c r="I1402" s="36" t="s">
        <v>9720</v>
      </c>
      <c r="J1402" s="36" t="s">
        <v>19</v>
      </c>
      <c r="L1402" s="36"/>
      <c r="M1402" s="36" t="s">
        <v>9515</v>
      </c>
    </row>
    <row r="1403" spans="1:13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/>
      </c>
      <c r="I1403" s="36" t="s">
        <v>9720</v>
      </c>
      <c r="J1403" s="36" t="s">
        <v>19</v>
      </c>
      <c r="L1403" s="36"/>
      <c r="M1403" s="36" t="s">
        <v>9515</v>
      </c>
    </row>
    <row r="1404" spans="1:13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/>
      </c>
      <c r="I1404" s="36" t="s">
        <v>9720</v>
      </c>
      <c r="J1404" s="36" t="s">
        <v>19</v>
      </c>
      <c r="L1404" s="36"/>
      <c r="M1404" s="36" t="s">
        <v>9515</v>
      </c>
    </row>
    <row r="1405" spans="1:13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/>
      </c>
      <c r="I1405" s="36" t="s">
        <v>9720</v>
      </c>
      <c r="J1405" s="36" t="s">
        <v>19</v>
      </c>
      <c r="L1405" s="36"/>
      <c r="M1405" s="36" t="s">
        <v>9515</v>
      </c>
    </row>
    <row r="1406" spans="1:13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/>
      </c>
      <c r="I1406" s="36" t="s">
        <v>9720</v>
      </c>
      <c r="J1406" s="36" t="s">
        <v>19</v>
      </c>
      <c r="L1406" s="36"/>
      <c r="M1406" s="36" t="s">
        <v>9515</v>
      </c>
    </row>
    <row r="1407" spans="1:13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/>
      </c>
      <c r="I1407" s="36" t="s">
        <v>9720</v>
      </c>
      <c r="J1407" s="36" t="s">
        <v>19</v>
      </c>
      <c r="L1407" s="36"/>
      <c r="M1407" s="36" t="s">
        <v>9515</v>
      </c>
    </row>
    <row r="1408" spans="1:13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/>
      </c>
      <c r="I1408" s="36" t="s">
        <v>9720</v>
      </c>
      <c r="J1408" s="36" t="s">
        <v>19</v>
      </c>
      <c r="L1408" s="36"/>
      <c r="M1408" s="36" t="s">
        <v>9515</v>
      </c>
    </row>
    <row r="1409" spans="1:13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/>
      </c>
      <c r="I1409" s="36" t="s">
        <v>9720</v>
      </c>
      <c r="J1409" s="36" t="s">
        <v>19</v>
      </c>
      <c r="L1409" s="36"/>
      <c r="M1409" s="36" t="s">
        <v>9515</v>
      </c>
    </row>
    <row r="1410" spans="1:13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/>
      </c>
      <c r="I1410" s="36" t="s">
        <v>9720</v>
      </c>
      <c r="J1410" s="36" t="s">
        <v>19</v>
      </c>
      <c r="L1410" s="36"/>
      <c r="M1410" s="36" t="s">
        <v>9515</v>
      </c>
    </row>
    <row r="1411" spans="1:13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/>
      </c>
      <c r="I1411" s="36" t="s">
        <v>9720</v>
      </c>
      <c r="J1411" s="36" t="s">
        <v>19</v>
      </c>
      <c r="L1411" s="36"/>
      <c r="M1411" s="36" t="s">
        <v>9515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/>
      </c>
      <c r="I1412" s="36" t="s">
        <v>9720</v>
      </c>
      <c r="J1412" s="36" t="s">
        <v>19</v>
      </c>
      <c r="L1412" s="36"/>
      <c r="M1412" s="36" t="s">
        <v>9515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/>
      </c>
      <c r="I1413" s="36" t="s">
        <v>9720</v>
      </c>
      <c r="J1413" s="36" t="s">
        <v>19</v>
      </c>
      <c r="L1413" s="36"/>
      <c r="M1413" s="36" t="s">
        <v>9515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/>
      </c>
      <c r="I1414" s="36" t="s">
        <v>9720</v>
      </c>
      <c r="J1414" s="36" t="s">
        <v>19</v>
      </c>
      <c r="L1414" s="36"/>
      <c r="M1414" s="36" t="s">
        <v>9515</v>
      </c>
    </row>
    <row r="1415" spans="1:13" hidden="1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/>
      </c>
      <c r="I1416" s="36" t="s">
        <v>9720</v>
      </c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/>
      </c>
      <c r="I1417" s="36" t="s">
        <v>9720</v>
      </c>
      <c r="J1417" s="9" t="s">
        <v>19</v>
      </c>
      <c r="L1417" s="36"/>
      <c r="M1417" s="36" t="s">
        <v>9515</v>
      </c>
    </row>
    <row r="1418" spans="1:13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/>
      </c>
      <c r="I1418" s="36" t="s">
        <v>9720</v>
      </c>
      <c r="J1418" s="36" t="s">
        <v>19</v>
      </c>
      <c r="L1418" s="36"/>
      <c r="M1418" s="36" t="s">
        <v>9515</v>
      </c>
    </row>
    <row r="1419" spans="1:13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/>
      </c>
      <c r="I1419" s="36" t="s">
        <v>9720</v>
      </c>
      <c r="J1419" s="36" t="s">
        <v>19</v>
      </c>
      <c r="L1419" s="36"/>
      <c r="M1419" s="36" t="s">
        <v>9515</v>
      </c>
    </row>
    <row r="1420" spans="1:13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/>
      </c>
      <c r="I1420" s="36" t="s">
        <v>9720</v>
      </c>
      <c r="J1420" s="36" t="s">
        <v>19</v>
      </c>
      <c r="L1420" s="36"/>
      <c r="M1420" s="36" t="s">
        <v>9515</v>
      </c>
    </row>
    <row r="1421" spans="1:13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/>
      </c>
      <c r="I1421" s="36" t="s">
        <v>9720</v>
      </c>
      <c r="J1421" s="36" t="s">
        <v>19</v>
      </c>
      <c r="L1421" s="36"/>
      <c r="M1421" s="36" t="s">
        <v>9515</v>
      </c>
    </row>
    <row r="1422" spans="1:13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/>
      </c>
      <c r="I1422" s="36" t="s">
        <v>9720</v>
      </c>
      <c r="J1422" s="36" t="s">
        <v>19</v>
      </c>
      <c r="L1422" s="36"/>
      <c r="M1422" s="36" t="s">
        <v>9515</v>
      </c>
    </row>
    <row r="1423" spans="1:13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/>
      </c>
      <c r="I1423" s="36" t="s">
        <v>9720</v>
      </c>
      <c r="J1423" s="36" t="s">
        <v>19</v>
      </c>
      <c r="L1423" s="36"/>
      <c r="M1423" s="36" t="s">
        <v>9515</v>
      </c>
    </row>
    <row r="1424" spans="1:13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/>
      </c>
      <c r="I1424" s="36" t="s">
        <v>9720</v>
      </c>
      <c r="J1424" s="36" t="s">
        <v>19</v>
      </c>
      <c r="L1424" s="36"/>
      <c r="M1424" s="36" t="s">
        <v>9515</v>
      </c>
    </row>
    <row r="1425" spans="1:13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/>
      </c>
      <c r="I1425" s="36" t="s">
        <v>9720</v>
      </c>
      <c r="J1425" s="36" t="s">
        <v>19</v>
      </c>
      <c r="L1425" s="36"/>
      <c r="M1425" s="36" t="s">
        <v>9515</v>
      </c>
    </row>
    <row r="1426" spans="1:13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/>
      </c>
      <c r="I1426" s="36" t="s">
        <v>9720</v>
      </c>
      <c r="J1426" s="9" t="s">
        <v>17</v>
      </c>
      <c r="L1426" s="36"/>
      <c r="M1426" s="9" t="s">
        <v>9543</v>
      </c>
    </row>
    <row r="1427" spans="1:13" hidden="1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/>
      </c>
      <c r="I1428" s="36" t="s">
        <v>9720</v>
      </c>
      <c r="J1428" s="36" t="s">
        <v>17</v>
      </c>
      <c r="L1428" s="36"/>
      <c r="M1428" s="9" t="s">
        <v>4778</v>
      </c>
    </row>
    <row r="1429" spans="1:13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/>
      </c>
      <c r="I1429" s="36" t="s">
        <v>9720</v>
      </c>
      <c r="J1429" s="36" t="s">
        <v>19</v>
      </c>
      <c r="L1429" s="36"/>
      <c r="M1429" s="9" t="s">
        <v>9555</v>
      </c>
    </row>
    <row r="1430" spans="1:13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/>
      </c>
      <c r="I1430" s="36" t="s">
        <v>9720</v>
      </c>
      <c r="J1430" s="36" t="s">
        <v>19</v>
      </c>
      <c r="L1430" s="36"/>
      <c r="M1430" s="36" t="s">
        <v>9555</v>
      </c>
    </row>
    <row r="1431" spans="1:13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/>
      </c>
      <c r="I1431" s="36" t="s">
        <v>9720</v>
      </c>
      <c r="J1431" s="36" t="s">
        <v>19</v>
      </c>
      <c r="L1431" s="36"/>
      <c r="M1431" s="36" t="s">
        <v>9555</v>
      </c>
    </row>
    <row r="1432" spans="1:13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/>
      </c>
      <c r="I1432" s="36" t="s">
        <v>9720</v>
      </c>
      <c r="J1432" s="36" t="s">
        <v>19</v>
      </c>
      <c r="L1432" s="36"/>
      <c r="M1432" s="36" t="s">
        <v>9555</v>
      </c>
    </row>
    <row r="1433" spans="1:13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/>
      </c>
      <c r="I1433" s="36" t="s">
        <v>9720</v>
      </c>
      <c r="J1433" s="36" t="s">
        <v>19</v>
      </c>
      <c r="L1433" s="36"/>
      <c r="M1433" s="36" t="s">
        <v>9555</v>
      </c>
    </row>
    <row r="1434" spans="1:13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/>
      </c>
      <c r="I1434" s="36" t="s">
        <v>9720</v>
      </c>
      <c r="J1434" s="36" t="s">
        <v>19</v>
      </c>
      <c r="L1434" s="36"/>
      <c r="M1434" s="36" t="s">
        <v>9555</v>
      </c>
    </row>
    <row r="1435" spans="1:13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/>
      </c>
      <c r="I1435" s="36" t="s">
        <v>9720</v>
      </c>
      <c r="J1435" s="36" t="s">
        <v>19</v>
      </c>
      <c r="L1435" s="36"/>
      <c r="M1435" s="36" t="s">
        <v>9515</v>
      </c>
    </row>
    <row r="1436" spans="1:13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/>
      </c>
      <c r="I1436" s="36" t="s">
        <v>9720</v>
      </c>
      <c r="J1436" s="36" t="s">
        <v>19</v>
      </c>
      <c r="L1436" s="36"/>
      <c r="M1436" s="36" t="s">
        <v>9515</v>
      </c>
    </row>
    <row r="1437" spans="1:13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/>
      </c>
      <c r="I1437" s="36" t="s">
        <v>9720</v>
      </c>
      <c r="J1437" s="36" t="s">
        <v>19</v>
      </c>
      <c r="L1437" s="36"/>
      <c r="M1437" s="36" t="s">
        <v>9515</v>
      </c>
    </row>
    <row r="1438" spans="1:13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/>
      </c>
      <c r="I1438" s="36" t="s">
        <v>9720</v>
      </c>
      <c r="J1438" s="36" t="s">
        <v>19</v>
      </c>
      <c r="L1438" s="36"/>
      <c r="M1438" s="36" t="s">
        <v>9515</v>
      </c>
    </row>
    <row r="1439" spans="1:13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/>
      </c>
      <c r="I1439" s="36" t="s">
        <v>9720</v>
      </c>
      <c r="J1439" s="36" t="s">
        <v>19</v>
      </c>
      <c r="L1439" s="36"/>
      <c r="M1439" s="36" t="s">
        <v>9515</v>
      </c>
    </row>
    <row r="1440" spans="1:13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/>
      </c>
      <c r="I1440" s="36" t="s">
        <v>9720</v>
      </c>
      <c r="J1440" s="36" t="s">
        <v>19</v>
      </c>
      <c r="L1440" s="36"/>
      <c r="M1440" s="36" t="s">
        <v>9515</v>
      </c>
    </row>
    <row r="1441" spans="1:13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/>
      </c>
      <c r="I1441" s="36" t="s">
        <v>9720</v>
      </c>
      <c r="J1441" s="36" t="s">
        <v>19</v>
      </c>
      <c r="L1441" s="36"/>
      <c r="M1441" s="36" t="s">
        <v>9515</v>
      </c>
    </row>
    <row r="1442" spans="1:13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/>
      </c>
      <c r="I1442" s="36" t="s">
        <v>9720</v>
      </c>
      <c r="J1442" s="36" t="s">
        <v>19</v>
      </c>
      <c r="L1442" s="36"/>
      <c r="M1442" s="36" t="s">
        <v>9515</v>
      </c>
    </row>
    <row r="1443" spans="1:13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/>
      </c>
      <c r="I1443" s="36" t="s">
        <v>9720</v>
      </c>
      <c r="J1443" s="36" t="s">
        <v>19</v>
      </c>
      <c r="L1443" s="36"/>
      <c r="M1443" s="36" t="s">
        <v>9515</v>
      </c>
    </row>
    <row r="1444" spans="1:13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/>
      </c>
      <c r="I1444" s="36" t="s">
        <v>9720</v>
      </c>
      <c r="J1444" s="36" t="s">
        <v>19</v>
      </c>
      <c r="L1444" s="36"/>
      <c r="M1444" s="36" t="s">
        <v>9515</v>
      </c>
    </row>
    <row r="1445" spans="1:13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/>
      </c>
      <c r="I1445" s="36" t="s">
        <v>9720</v>
      </c>
      <c r="J1445" s="36" t="s">
        <v>19</v>
      </c>
      <c r="L1445" s="36"/>
      <c r="M1445" s="36" t="s">
        <v>9515</v>
      </c>
    </row>
    <row r="1446" spans="1:13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/>
      </c>
      <c r="I1446" s="36" t="s">
        <v>9720</v>
      </c>
      <c r="J1446" s="36" t="s">
        <v>19</v>
      </c>
      <c r="L1446" s="36"/>
      <c r="M1446" s="36" t="s">
        <v>9515</v>
      </c>
    </row>
    <row r="1447" spans="1:13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/>
      </c>
      <c r="I1447" s="36" t="s">
        <v>9720</v>
      </c>
      <c r="J1447" s="36" t="s">
        <v>19</v>
      </c>
      <c r="L1447" s="36"/>
      <c r="M1447" s="36" t="s">
        <v>9515</v>
      </c>
    </row>
    <row r="1448" spans="1:13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/>
      </c>
      <c r="I1448" s="36" t="s">
        <v>9720</v>
      </c>
      <c r="J1448" s="36" t="s">
        <v>19</v>
      </c>
      <c r="L1448" s="36"/>
      <c r="M1448" s="36" t="s">
        <v>9515</v>
      </c>
    </row>
    <row r="1449" spans="1:13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/>
      </c>
      <c r="I1449" s="36" t="s">
        <v>9720</v>
      </c>
      <c r="J1449" s="36" t="s">
        <v>19</v>
      </c>
      <c r="L1449" s="36"/>
      <c r="M1449" s="36" t="s">
        <v>9515</v>
      </c>
    </row>
    <row r="1450" spans="1:13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/>
      </c>
      <c r="I1450" s="36" t="s">
        <v>9720</v>
      </c>
      <c r="J1450" s="36" t="s">
        <v>19</v>
      </c>
      <c r="L1450" s="36"/>
      <c r="M1450" s="36" t="s">
        <v>9515</v>
      </c>
    </row>
    <row r="1451" spans="1:13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/>
      </c>
      <c r="I1451" s="36" t="s">
        <v>9720</v>
      </c>
      <c r="J1451" s="36" t="s">
        <v>19</v>
      </c>
      <c r="L1451" s="36"/>
      <c r="M1451" s="36" t="s">
        <v>9515</v>
      </c>
    </row>
    <row r="1452" spans="1:13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/>
      </c>
      <c r="I1452" s="36" t="s">
        <v>9720</v>
      </c>
      <c r="J1452" s="36" t="s">
        <v>19</v>
      </c>
      <c r="L1452" s="36"/>
      <c r="M1452" s="36" t="s">
        <v>9515</v>
      </c>
    </row>
    <row r="1453" spans="1:13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/>
      </c>
      <c r="I1453" s="36" t="s">
        <v>9720</v>
      </c>
      <c r="J1453" s="36" t="s">
        <v>19</v>
      </c>
      <c r="L1453" s="36"/>
      <c r="M1453" s="36" t="s">
        <v>9515</v>
      </c>
    </row>
    <row r="1454" spans="1:13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/>
      </c>
      <c r="I1454" s="36" t="s">
        <v>9720</v>
      </c>
      <c r="J1454" s="36" t="s">
        <v>19</v>
      </c>
      <c r="L1454" s="36"/>
      <c r="M1454" s="36" t="s">
        <v>9515</v>
      </c>
    </row>
    <row r="1455" spans="1:13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/>
      </c>
      <c r="I1455" s="36" t="s">
        <v>9720</v>
      </c>
      <c r="J1455" s="36" t="s">
        <v>19</v>
      </c>
      <c r="L1455" s="36"/>
      <c r="M1455" s="36" t="s">
        <v>9515</v>
      </c>
    </row>
    <row r="1456" spans="1:13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/>
      </c>
      <c r="I1456" s="36" t="s">
        <v>9720</v>
      </c>
      <c r="J1456" s="36" t="s">
        <v>19</v>
      </c>
      <c r="L1456" s="36"/>
      <c r="M1456" s="36" t="s">
        <v>9515</v>
      </c>
    </row>
    <row r="1457" spans="1:13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/>
      </c>
      <c r="I1457" s="36" t="s">
        <v>9720</v>
      </c>
      <c r="J1457" s="9" t="s">
        <v>17</v>
      </c>
      <c r="L1457" s="36"/>
      <c r="M1457" s="9" t="s">
        <v>9011</v>
      </c>
    </row>
    <row r="1458" spans="1:13">
      <c r="A1458" s="42">
        <f t="shared" si="23"/>
        <v>1457</v>
      </c>
      <c r="B1458" s="36" t="s">
        <v>8</v>
      </c>
      <c r="C1458" s="9" t="s">
        <v>9580</v>
      </c>
      <c r="D1458" s="36" t="s">
        <v>9653</v>
      </c>
      <c r="E1458" s="9" t="s">
        <v>9581</v>
      </c>
      <c r="F1458" s="9" t="s">
        <v>9675</v>
      </c>
      <c r="G1458" s="36" t="s">
        <v>14</v>
      </c>
      <c r="H1458" s="36" t="str">
        <f>IFERROR(VLOOKUP(Table2[[#This Row], [Ticket]],Okey!A:B,2,0),"")</f>
        <v/>
      </c>
      <c r="I1458" s="36" t="s">
        <v>9720</v>
      </c>
      <c r="J1458" s="36" t="s">
        <v>17</v>
      </c>
      <c r="L1458" s="36"/>
      <c r="M1458" s="9" t="s">
        <v>9034</v>
      </c>
    </row>
    <row r="1459" spans="1:13">
      <c r="A1459" s="42">
        <f t="shared" si="23"/>
        <v>1458</v>
      </c>
      <c r="B1459" s="36" t="s">
        <v>8</v>
      </c>
      <c r="C1459" s="36" t="s">
        <v>9580</v>
      </c>
      <c r="D1459" s="36" t="s">
        <v>9654</v>
      </c>
      <c r="E1459" s="9" t="s">
        <v>9582</v>
      </c>
      <c r="F1459" s="36" t="s">
        <v>9653</v>
      </c>
      <c r="G1459" s="36" t="s">
        <v>14</v>
      </c>
      <c r="H1459" s="36" t="str">
        <f>IFERROR(VLOOKUP(Table2[[#This Row], [Ticket]],Okey!A:B,2,0),"")</f>
        <v/>
      </c>
      <c r="I1459" s="36" t="s">
        <v>9720</v>
      </c>
      <c r="J1459" s="36" t="s">
        <v>17</v>
      </c>
      <c r="L1459" s="36"/>
      <c r="M1459" s="36" t="s">
        <v>9034</v>
      </c>
    </row>
    <row r="1460" spans="1:13">
      <c r="A1460" s="42">
        <f t="shared" si="23"/>
        <v>1459</v>
      </c>
      <c r="B1460" s="36" t="s">
        <v>8</v>
      </c>
      <c r="C1460" s="36" t="s">
        <v>9580</v>
      </c>
      <c r="D1460" s="36" t="s">
        <v>9655</v>
      </c>
      <c r="E1460" s="9" t="s">
        <v>9583</v>
      </c>
      <c r="F1460" s="36" t="s">
        <v>9653</v>
      </c>
      <c r="G1460" s="36" t="s">
        <v>14</v>
      </c>
      <c r="H1460" s="36" t="str">
        <f>IFERROR(VLOOKUP(Table2[[#This Row], [Ticket]],Okey!A:B,2,0),"")</f>
        <v/>
      </c>
      <c r="I1460" s="36" t="s">
        <v>9720</v>
      </c>
      <c r="J1460" s="36" t="s">
        <v>17</v>
      </c>
      <c r="L1460" s="36"/>
      <c r="M1460" s="36" t="s">
        <v>9034</v>
      </c>
    </row>
    <row r="1461" spans="1:13">
      <c r="A1461" s="42">
        <f t="shared" si="23"/>
        <v>1460</v>
      </c>
      <c r="B1461" s="36" t="s">
        <v>8</v>
      </c>
      <c r="C1461" s="36" t="s">
        <v>9580</v>
      </c>
      <c r="D1461" s="36" t="s">
        <v>9656</v>
      </c>
      <c r="E1461" s="9" t="s">
        <v>9584</v>
      </c>
      <c r="F1461" s="36" t="s">
        <v>9653</v>
      </c>
      <c r="G1461" s="36" t="s">
        <v>14</v>
      </c>
      <c r="H1461" s="36" t="str">
        <f>IFERROR(VLOOKUP(Table2[[#This Row], [Ticket]],Okey!A:B,2,0),"")</f>
        <v/>
      </c>
      <c r="I1461" s="36" t="s">
        <v>9720</v>
      </c>
      <c r="J1461" s="36" t="s">
        <v>17</v>
      </c>
      <c r="L1461" s="36"/>
      <c r="M1461" s="36" t="s">
        <v>9034</v>
      </c>
    </row>
    <row r="1462" spans="1:13">
      <c r="A1462" s="42">
        <f t="shared" si="23"/>
        <v>1461</v>
      </c>
      <c r="B1462" s="36" t="s">
        <v>8</v>
      </c>
      <c r="C1462" s="36" t="s">
        <v>9580</v>
      </c>
      <c r="D1462" s="36" t="s">
        <v>9657</v>
      </c>
      <c r="E1462" s="9" t="s">
        <v>9585</v>
      </c>
      <c r="F1462" s="9" t="s">
        <v>9674</v>
      </c>
      <c r="G1462" s="36" t="s">
        <v>14</v>
      </c>
      <c r="H1462" s="36" t="str">
        <f>IFERROR(VLOOKUP(Table2[[#This Row], [Ticket]],Okey!A:B,2,0),"")</f>
        <v/>
      </c>
      <c r="I1462" s="36" t="s">
        <v>9720</v>
      </c>
      <c r="J1462" s="36" t="s">
        <v>17</v>
      </c>
      <c r="L1462" s="36"/>
      <c r="M1462" s="36" t="s">
        <v>9034</v>
      </c>
    </row>
    <row r="1463" spans="1:13">
      <c r="A1463" s="42">
        <f t="shared" si="23"/>
        <v>1462</v>
      </c>
      <c r="B1463" s="36" t="s">
        <v>8</v>
      </c>
      <c r="C1463" s="36" t="s">
        <v>9580</v>
      </c>
      <c r="D1463" s="36" t="s">
        <v>9658</v>
      </c>
      <c r="E1463" s="9" t="s">
        <v>9586</v>
      </c>
      <c r="F1463" s="36" t="s">
        <v>9657</v>
      </c>
      <c r="G1463" s="36" t="s">
        <v>14</v>
      </c>
      <c r="H1463" s="36" t="str">
        <f>IFERROR(VLOOKUP(Table2[[#This Row], [Ticket]],Okey!A:B,2,0),"")</f>
        <v/>
      </c>
      <c r="I1463" s="36" t="s">
        <v>9720</v>
      </c>
      <c r="J1463" s="36" t="s">
        <v>17</v>
      </c>
      <c r="L1463" s="36"/>
      <c r="M1463" s="36" t="s">
        <v>9034</v>
      </c>
    </row>
    <row r="1464" spans="1:13">
      <c r="A1464" s="42">
        <f t="shared" si="23"/>
        <v>1463</v>
      </c>
      <c r="B1464" s="36" t="s">
        <v>8</v>
      </c>
      <c r="C1464" s="36" t="s">
        <v>9580</v>
      </c>
      <c r="D1464" s="36" t="s">
        <v>9659</v>
      </c>
      <c r="E1464" s="9" t="s">
        <v>9587</v>
      </c>
      <c r="F1464" s="36" t="s">
        <v>9657</v>
      </c>
      <c r="G1464" s="9" t="s">
        <v>14</v>
      </c>
      <c r="H1464" s="36" t="str">
        <f>IFERROR(VLOOKUP(Table2[[#This Row], [Ticket]],Okey!A:B,2,0),"")</f>
        <v/>
      </c>
      <c r="I1464" s="36" t="s">
        <v>9720</v>
      </c>
      <c r="J1464" s="36" t="s">
        <v>17</v>
      </c>
      <c r="L1464" s="36"/>
      <c r="M1464" s="36" t="s">
        <v>9034</v>
      </c>
    </row>
    <row r="1465" spans="1:13">
      <c r="A1465" s="42">
        <f t="shared" si="23"/>
        <v>1464</v>
      </c>
      <c r="B1465" s="36" t="s">
        <v>8</v>
      </c>
      <c r="C1465" s="9" t="s">
        <v>9592</v>
      </c>
      <c r="D1465" s="36" t="s">
        <v>9660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/>
      </c>
      <c r="I1465" s="36" t="s">
        <v>9720</v>
      </c>
      <c r="J1465" s="36" t="s">
        <v>17</v>
      </c>
      <c r="L1465" s="36"/>
      <c r="M1465" s="36" t="s">
        <v>4782</v>
      </c>
    </row>
    <row r="1466" spans="1:13">
      <c r="A1466" s="42">
        <f t="shared" si="23"/>
        <v>1465</v>
      </c>
      <c r="B1466" s="36" t="s">
        <v>8</v>
      </c>
      <c r="C1466" s="36" t="s">
        <v>9592</v>
      </c>
      <c r="D1466" s="36" t="s">
        <v>9661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/>
      </c>
      <c r="I1466" s="36" t="s">
        <v>9720</v>
      </c>
      <c r="J1466" s="36" t="s">
        <v>17</v>
      </c>
      <c r="L1466" s="36"/>
      <c r="M1466" s="36" t="s">
        <v>4782</v>
      </c>
    </row>
    <row r="1467" spans="1:13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/>
      </c>
      <c r="I1467" s="36" t="s">
        <v>9720</v>
      </c>
      <c r="J1467" s="36" t="s">
        <v>17</v>
      </c>
      <c r="L1467" s="36"/>
      <c r="M1467" s="36" t="s">
        <v>4782</v>
      </c>
    </row>
    <row r="1468" spans="1:13">
      <c r="A1468" s="42">
        <f t="shared" si="23"/>
        <v>1467</v>
      </c>
      <c r="B1468" s="36" t="s">
        <v>8</v>
      </c>
      <c r="C1468" s="9" t="s">
        <v>9605</v>
      </c>
      <c r="D1468" s="36" t="s">
        <v>9663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/>
      </c>
      <c r="I1468" s="36" t="s">
        <v>9720</v>
      </c>
      <c r="J1468" s="36" t="s">
        <v>19</v>
      </c>
      <c r="L1468" s="36"/>
      <c r="M1468" s="9" t="s">
        <v>9606</v>
      </c>
    </row>
    <row r="1469" spans="1:13">
      <c r="A1469" s="42">
        <f t="shared" si="23"/>
        <v>1468</v>
      </c>
      <c r="B1469" s="36" t="s">
        <v>8</v>
      </c>
      <c r="C1469" s="36" t="s">
        <v>9605</v>
      </c>
      <c r="D1469" s="36" t="s">
        <v>9664</v>
      </c>
      <c r="E1469" s="9" t="s">
        <v>9594</v>
      </c>
      <c r="F1469" s="9" t="s">
        <v>9595</v>
      </c>
      <c r="G1469" s="36" t="s">
        <v>14</v>
      </c>
      <c r="H1469" s="36" t="str">
        <f>IFERROR(VLOOKUP(Table2[[#This Row], [Ticket]],Okey!A:B,2,0),"")</f>
        <v/>
      </c>
      <c r="I1469" s="36" t="s">
        <v>9720</v>
      </c>
      <c r="J1469" s="36" t="s">
        <v>19</v>
      </c>
      <c r="L1469" s="36"/>
      <c r="M1469" s="36" t="s">
        <v>9606</v>
      </c>
    </row>
    <row r="1470" spans="1:13">
      <c r="A1470" s="42">
        <f t="shared" si="23"/>
        <v>1469</v>
      </c>
      <c r="B1470" s="36" t="s">
        <v>8</v>
      </c>
      <c r="C1470" s="36" t="s">
        <v>9605</v>
      </c>
      <c r="D1470" s="36" t="s">
        <v>9665</v>
      </c>
      <c r="E1470" s="9" t="s">
        <v>9596</v>
      </c>
      <c r="F1470" s="9" t="s">
        <v>8957</v>
      </c>
      <c r="G1470" s="36" t="s">
        <v>14</v>
      </c>
      <c r="H1470" s="36" t="str">
        <f>IFERROR(VLOOKUP(Table2[[#This Row], [Ticket]],Okey!A:B,2,0),"")</f>
        <v/>
      </c>
      <c r="I1470" s="36" t="s">
        <v>9720</v>
      </c>
      <c r="J1470" s="36" t="s">
        <v>19</v>
      </c>
      <c r="L1470" s="36"/>
      <c r="M1470" s="36" t="s">
        <v>9606</v>
      </c>
    </row>
    <row r="1471" spans="1:13">
      <c r="A1471" s="42">
        <f t="shared" si="23"/>
        <v>1470</v>
      </c>
      <c r="B1471" s="36" t="s">
        <v>8</v>
      </c>
      <c r="C1471" s="36" t="s">
        <v>9605</v>
      </c>
      <c r="D1471" s="36" t="s">
        <v>9662</v>
      </c>
      <c r="E1471" s="9" t="s">
        <v>9597</v>
      </c>
      <c r="F1471" s="9" t="s">
        <v>8957</v>
      </c>
      <c r="G1471" s="36" t="s">
        <v>14</v>
      </c>
      <c r="H1471" s="36" t="str">
        <f>IFERROR(VLOOKUP(Table2[[#This Row], [Ticket]],Okey!A:B,2,0),"")</f>
        <v/>
      </c>
      <c r="I1471" s="36" t="s">
        <v>9720</v>
      </c>
      <c r="J1471" s="36" t="s">
        <v>19</v>
      </c>
      <c r="L1471" s="36"/>
      <c r="M1471" s="36" t="s">
        <v>9606</v>
      </c>
    </row>
    <row r="1472" spans="1:13">
      <c r="A1472" s="42">
        <f t="shared" si="23"/>
        <v>1471</v>
      </c>
      <c r="B1472" s="36" t="s">
        <v>8</v>
      </c>
      <c r="C1472" s="36" t="s">
        <v>9605</v>
      </c>
      <c r="D1472" s="36" t="s">
        <v>9666</v>
      </c>
      <c r="E1472" s="9" t="s">
        <v>9598</v>
      </c>
      <c r="F1472" s="9" t="s">
        <v>8953</v>
      </c>
      <c r="G1472" s="36" t="s">
        <v>14</v>
      </c>
      <c r="H1472" s="36" t="str">
        <f>IFERROR(VLOOKUP(Table2[[#This Row], [Ticket]],Okey!A:B,2,0),"")</f>
        <v/>
      </c>
      <c r="I1472" s="36" t="s">
        <v>9720</v>
      </c>
      <c r="J1472" s="36" t="s">
        <v>19</v>
      </c>
      <c r="L1472" s="36"/>
      <c r="M1472" s="36" t="s">
        <v>9606</v>
      </c>
    </row>
    <row r="1473" spans="1:13">
      <c r="A1473" s="42">
        <f t="shared" si="23"/>
        <v>1472</v>
      </c>
      <c r="B1473" s="36" t="s">
        <v>8</v>
      </c>
      <c r="C1473" s="36" t="s">
        <v>9605</v>
      </c>
      <c r="D1473" s="36" t="s">
        <v>9667</v>
      </c>
      <c r="E1473" s="9" t="s">
        <v>9599</v>
      </c>
      <c r="F1473" s="36" t="s">
        <v>9666</v>
      </c>
      <c r="G1473" s="36" t="s">
        <v>14</v>
      </c>
      <c r="H1473" s="36" t="str">
        <f>IFERROR(VLOOKUP(Table2[[#This Row], [Ticket]],Okey!A:B,2,0),"")</f>
        <v/>
      </c>
      <c r="I1473" s="36" t="s">
        <v>9720</v>
      </c>
      <c r="J1473" s="36" t="s">
        <v>19</v>
      </c>
      <c r="L1473" s="36"/>
      <c r="M1473" s="36" t="s">
        <v>9606</v>
      </c>
    </row>
    <row r="1474" spans="1:13">
      <c r="A1474" s="42">
        <f t="shared" si="23"/>
        <v>1473</v>
      </c>
      <c r="B1474" s="36" t="s">
        <v>8</v>
      </c>
      <c r="C1474" s="36" t="s">
        <v>9605</v>
      </c>
      <c r="D1474" s="36" t="s">
        <v>9668</v>
      </c>
      <c r="E1474" s="9" t="s">
        <v>9600</v>
      </c>
      <c r="F1474" s="9" t="s">
        <v>8953</v>
      </c>
      <c r="G1474" s="36" t="s">
        <v>14</v>
      </c>
      <c r="H1474" s="36" t="str">
        <f>IFERROR(VLOOKUP(Table2[[#This Row], [Ticket]],Okey!A:B,2,0),"")</f>
        <v/>
      </c>
      <c r="I1474" s="36" t="s">
        <v>9720</v>
      </c>
      <c r="J1474" s="36" t="s">
        <v>19</v>
      </c>
      <c r="L1474" s="36"/>
      <c r="M1474" s="36" t="s">
        <v>9606</v>
      </c>
    </row>
    <row r="1475" spans="1:13">
      <c r="A1475" s="42">
        <f t="shared" si="23"/>
        <v>1474</v>
      </c>
      <c r="B1475" s="36" t="s">
        <v>8</v>
      </c>
      <c r="C1475" s="36" t="s">
        <v>9605</v>
      </c>
      <c r="D1475" s="36" t="s">
        <v>9669</v>
      </c>
      <c r="E1475" s="9" t="s">
        <v>9601</v>
      </c>
      <c r="F1475" s="9" t="s">
        <v>8953</v>
      </c>
      <c r="G1475" s="36" t="s">
        <v>14</v>
      </c>
      <c r="H1475" s="36" t="str">
        <f>IFERROR(VLOOKUP(Table2[[#This Row], [Ticket]],Okey!A:B,2,0),"")</f>
        <v/>
      </c>
      <c r="I1475" s="36" t="s">
        <v>9720</v>
      </c>
      <c r="J1475" s="36" t="s">
        <v>19</v>
      </c>
      <c r="L1475" s="36"/>
      <c r="M1475" s="36" t="s">
        <v>9606</v>
      </c>
    </row>
    <row r="1476" spans="1:13">
      <c r="A1476" s="42">
        <f t="shared" si="23"/>
        <v>1475</v>
      </c>
      <c r="B1476" s="36" t="s">
        <v>8</v>
      </c>
      <c r="C1476" s="36" t="s">
        <v>9605</v>
      </c>
      <c r="D1476" s="36" t="s">
        <v>9670</v>
      </c>
      <c r="E1476" s="9" t="s">
        <v>9602</v>
      </c>
      <c r="F1476" s="9" t="s">
        <v>8953</v>
      </c>
      <c r="G1476" s="36" t="s">
        <v>14</v>
      </c>
      <c r="H1476" s="36" t="str">
        <f>IFERROR(VLOOKUP(Table2[[#This Row], [Ticket]],Okey!A:B,2,0),"")</f>
        <v/>
      </c>
      <c r="I1476" s="36" t="s">
        <v>9720</v>
      </c>
      <c r="J1476" s="36" t="s">
        <v>19</v>
      </c>
      <c r="L1476" s="36"/>
      <c r="M1476" s="36" t="s">
        <v>9606</v>
      </c>
    </row>
    <row r="1477" spans="1:13">
      <c r="A1477" s="42">
        <f t="shared" si="23"/>
        <v>1476</v>
      </c>
      <c r="B1477" s="36" t="s">
        <v>8</v>
      </c>
      <c r="C1477" s="36" t="s">
        <v>9605</v>
      </c>
      <c r="D1477" s="36" t="s">
        <v>9671</v>
      </c>
      <c r="E1477" s="9" t="s">
        <v>9673</v>
      </c>
      <c r="F1477" s="9" t="s">
        <v>8953</v>
      </c>
      <c r="G1477" s="36" t="s">
        <v>14</v>
      </c>
      <c r="H1477" s="36" t="str">
        <f>IFERROR(VLOOKUP(Table2[[#This Row], [Ticket]],Okey!A:B,2,0),"")</f>
        <v/>
      </c>
      <c r="I1477" s="36" t="s">
        <v>9720</v>
      </c>
      <c r="J1477" s="36" t="s">
        <v>19</v>
      </c>
      <c r="L1477" s="36"/>
      <c r="M1477" s="36" t="s">
        <v>9606</v>
      </c>
    </row>
    <row r="1478" spans="1:13">
      <c r="A1478" s="42">
        <f t="shared" si="23"/>
        <v>1477</v>
      </c>
      <c r="B1478" s="36" t="s">
        <v>8</v>
      </c>
      <c r="C1478" s="36" t="s">
        <v>9605</v>
      </c>
      <c r="D1478" s="36" t="s">
        <v>9672</v>
      </c>
      <c r="E1478" s="9" t="s">
        <v>9603</v>
      </c>
      <c r="F1478" s="9" t="s">
        <v>9604</v>
      </c>
      <c r="G1478" s="36" t="s">
        <v>14</v>
      </c>
      <c r="H1478" s="36" t="str">
        <f>IFERROR(VLOOKUP(Table2[[#This Row], [Ticket]],Okey!A:B,2,0),"")</f>
        <v/>
      </c>
      <c r="I1478" s="36" t="s">
        <v>9720</v>
      </c>
      <c r="J1478" s="36" t="s">
        <v>19</v>
      </c>
      <c r="L1478" s="36"/>
      <c r="M1478" s="36" t="s">
        <v>9606</v>
      </c>
    </row>
    <row r="1479" spans="1:13">
      <c r="A1479" s="42">
        <f t="shared" si="23"/>
        <v>1478</v>
      </c>
      <c r="B1479" s="36" t="s">
        <v>8</v>
      </c>
      <c r="C1479" s="9" t="s">
        <v>9607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/>
      </c>
      <c r="I1479" s="36" t="s">
        <v>9720</v>
      </c>
      <c r="L1479" s="36"/>
      <c r="M1479" s="36" t="s">
        <v>9034</v>
      </c>
    </row>
    <row r="1480" spans="1:13">
      <c r="A1480" s="42">
        <f t="shared" si="23"/>
        <v>1479</v>
      </c>
      <c r="B1480" s="36" t="s">
        <v>8</v>
      </c>
      <c r="C1480" s="9" t="s">
        <v>9608</v>
      </c>
      <c r="D1480" s="36" t="s">
        <v>9676</v>
      </c>
      <c r="E1480" s="9" t="s">
        <v>9609</v>
      </c>
      <c r="F1480" s="9" t="s">
        <v>6118</v>
      </c>
      <c r="G1480" s="36" t="s">
        <v>14</v>
      </c>
      <c r="H1480" s="36" t="str">
        <f>IFERROR(VLOOKUP(Table2[[#This Row], [Ticket]],Okey!A:B,2,0),"")</f>
        <v/>
      </c>
      <c r="I1480" s="36" t="s">
        <v>9720</v>
      </c>
      <c r="J1480" s="36" t="s">
        <v>19</v>
      </c>
      <c r="L1480" s="36"/>
    </row>
    <row r="1481" spans="1:13">
      <c r="A1481" s="42">
        <f t="shared" si="23"/>
        <v>1480</v>
      </c>
      <c r="B1481" s="36" t="s">
        <v>8</v>
      </c>
      <c r="C1481" s="36" t="s">
        <v>9608</v>
      </c>
      <c r="D1481" s="36" t="s">
        <v>9677</v>
      </c>
      <c r="E1481" s="9" t="s">
        <v>9610</v>
      </c>
      <c r="F1481" s="36" t="s">
        <v>9676</v>
      </c>
      <c r="G1481" s="36" t="s">
        <v>14</v>
      </c>
      <c r="H1481" s="36" t="str">
        <f>IFERROR(VLOOKUP(Table2[[#This Row], [Ticket]],Okey!A:B,2,0),"")</f>
        <v/>
      </c>
      <c r="I1481" s="36" t="s">
        <v>9720</v>
      </c>
      <c r="J1481" s="36" t="s">
        <v>19</v>
      </c>
      <c r="L1481" s="36"/>
    </row>
    <row r="1482" spans="1:13">
      <c r="A1482" s="42">
        <f t="shared" si="23"/>
        <v>1481</v>
      </c>
      <c r="B1482" s="36" t="s">
        <v>8</v>
      </c>
      <c r="C1482" s="36" t="s">
        <v>9608</v>
      </c>
      <c r="D1482" s="36" t="s">
        <v>9678</v>
      </c>
      <c r="E1482" s="9" t="s">
        <v>9611</v>
      </c>
      <c r="F1482" s="36" t="s">
        <v>9676</v>
      </c>
      <c r="G1482" s="36" t="s">
        <v>14</v>
      </c>
      <c r="H1482" s="36" t="str">
        <f>IFERROR(VLOOKUP(Table2[[#This Row], [Ticket]],Okey!A:B,2,0),"")</f>
        <v/>
      </c>
      <c r="I1482" s="36" t="s">
        <v>9720</v>
      </c>
      <c r="J1482" s="36" t="s">
        <v>19</v>
      </c>
      <c r="L1482" s="36"/>
    </row>
    <row r="1483" spans="1:13">
      <c r="A1483" s="42">
        <f t="shared" si="23"/>
        <v>1482</v>
      </c>
      <c r="B1483" s="36" t="s">
        <v>8</v>
      </c>
      <c r="C1483" s="36" t="s">
        <v>9608</v>
      </c>
      <c r="D1483" s="36" t="s">
        <v>9679</v>
      </c>
      <c r="E1483" s="9" t="s">
        <v>9612</v>
      </c>
      <c r="F1483" s="36" t="s">
        <v>9677</v>
      </c>
      <c r="G1483" s="36" t="s">
        <v>14</v>
      </c>
      <c r="H1483" s="36" t="str">
        <f>IFERROR(VLOOKUP(Table2[[#This Row], [Ticket]],Okey!A:B,2,0),"")</f>
        <v/>
      </c>
      <c r="I1483" s="36" t="s">
        <v>9720</v>
      </c>
      <c r="J1483" s="36" t="s">
        <v>19</v>
      </c>
      <c r="L1483" s="36"/>
    </row>
    <row r="1484" spans="1:13">
      <c r="A1484" s="42">
        <f t="shared" si="23"/>
        <v>1483</v>
      </c>
      <c r="B1484" s="36" t="s">
        <v>8</v>
      </c>
      <c r="C1484" s="36" t="s">
        <v>9608</v>
      </c>
      <c r="D1484" s="36" t="s">
        <v>9680</v>
      </c>
      <c r="E1484" s="9" t="s">
        <v>9613</v>
      </c>
      <c r="F1484" s="36" t="s">
        <v>9677</v>
      </c>
      <c r="G1484" s="36" t="s">
        <v>14</v>
      </c>
      <c r="H1484" s="36" t="str">
        <f>IFERROR(VLOOKUP(Table2[[#This Row], [Ticket]],Okey!A:B,2,0),"")</f>
        <v/>
      </c>
      <c r="I1484" s="36" t="s">
        <v>9720</v>
      </c>
      <c r="J1484" s="36" t="s">
        <v>19</v>
      </c>
      <c r="L1484" s="36"/>
    </row>
    <row r="1485" spans="1:13">
      <c r="A1485" s="42">
        <f t="shared" si="23"/>
        <v>1484</v>
      </c>
      <c r="B1485" s="36" t="s">
        <v>8</v>
      </c>
      <c r="C1485" s="36" t="s">
        <v>9608</v>
      </c>
      <c r="D1485" s="36" t="s">
        <v>9681</v>
      </c>
      <c r="E1485" s="9" t="s">
        <v>9614</v>
      </c>
      <c r="F1485" s="36" t="s">
        <v>9677</v>
      </c>
      <c r="G1485" s="36" t="s">
        <v>14</v>
      </c>
      <c r="H1485" s="36" t="str">
        <f>IFERROR(VLOOKUP(Table2[[#This Row], [Ticket]],Okey!A:B,2,0),"")</f>
        <v/>
      </c>
      <c r="I1485" s="36" t="s">
        <v>9720</v>
      </c>
      <c r="J1485" s="36" t="s">
        <v>19</v>
      </c>
      <c r="L1485" s="36"/>
    </row>
    <row r="1486" spans="1:13">
      <c r="A1486" s="42">
        <f t="shared" si="23"/>
        <v>1485</v>
      </c>
      <c r="B1486" s="36" t="s">
        <v>8</v>
      </c>
      <c r="C1486" s="36" t="s">
        <v>9608</v>
      </c>
      <c r="D1486" s="9" t="s">
        <v>9615</v>
      </c>
      <c r="E1486" s="9" t="s">
        <v>9616</v>
      </c>
      <c r="G1486" s="9" t="s">
        <v>15</v>
      </c>
      <c r="H1486" s="36" t="str">
        <f>IFERROR(VLOOKUP(Table2[[#This Row], [Ticket]],Okey!A:B,2,0),"")</f>
        <v/>
      </c>
      <c r="I1486" s="36" t="s">
        <v>9720</v>
      </c>
      <c r="L1486" s="36"/>
    </row>
    <row r="1487" spans="1:13">
      <c r="A1487" s="42">
        <f t="shared" si="23"/>
        <v>1486</v>
      </c>
      <c r="B1487" s="36" t="s">
        <v>8</v>
      </c>
      <c r="C1487" s="36" t="s">
        <v>9608</v>
      </c>
      <c r="D1487" s="9" t="s">
        <v>8952</v>
      </c>
      <c r="E1487" s="9" t="s">
        <v>9617</v>
      </c>
      <c r="G1487" s="36" t="s">
        <v>15</v>
      </c>
      <c r="H1487" s="36" t="str">
        <f>IFERROR(VLOOKUP(Table2[[#This Row], [Ticket]],Okey!A:B,2,0),"")</f>
        <v/>
      </c>
      <c r="I1487" s="36" t="s">
        <v>9720</v>
      </c>
      <c r="L1487" s="36"/>
    </row>
    <row r="1488" spans="1:13">
      <c r="A1488" s="42">
        <f t="shared" si="23"/>
        <v>1487</v>
      </c>
      <c r="B1488" s="36" t="s">
        <v>8</v>
      </c>
      <c r="C1488" s="36" t="s">
        <v>9608</v>
      </c>
      <c r="D1488" s="9" t="s">
        <v>9604</v>
      </c>
      <c r="E1488" s="9" t="s">
        <v>9618</v>
      </c>
      <c r="G1488" s="36" t="s">
        <v>15</v>
      </c>
      <c r="H1488" s="36" t="str">
        <f>IFERROR(VLOOKUP(Table2[[#This Row], [Ticket]],Okey!A:B,2,0),"")</f>
        <v/>
      </c>
      <c r="I1488" s="36" t="s">
        <v>9720</v>
      </c>
      <c r="L1488" s="36"/>
    </row>
    <row r="1489" spans="1:12">
      <c r="A1489" s="42">
        <f t="shared" si="23"/>
        <v>1488</v>
      </c>
      <c r="B1489" s="36" t="s">
        <v>8</v>
      </c>
      <c r="C1489" s="36" t="s">
        <v>9608</v>
      </c>
      <c r="D1489" s="9" t="s">
        <v>9619</v>
      </c>
      <c r="E1489" s="9" t="s">
        <v>9620</v>
      </c>
      <c r="G1489" s="36" t="s">
        <v>15</v>
      </c>
      <c r="H1489" s="36" t="str">
        <f>IFERROR(VLOOKUP(Table2[[#This Row], [Ticket]],Okey!A:B,2,0),"")</f>
        <v/>
      </c>
      <c r="I1489" s="36" t="s">
        <v>9720</v>
      </c>
      <c r="L1489" s="36"/>
    </row>
    <row r="1490" spans="1:12">
      <c r="A1490" s="42">
        <f t="shared" si="23"/>
        <v>1489</v>
      </c>
      <c r="B1490" s="36" t="s">
        <v>8</v>
      </c>
      <c r="C1490" s="36" t="s">
        <v>9621</v>
      </c>
      <c r="D1490" s="9" t="s">
        <v>9682</v>
      </c>
      <c r="E1490" s="9" t="s">
        <v>9622</v>
      </c>
      <c r="F1490" s="9" t="s">
        <v>9715</v>
      </c>
      <c r="G1490" s="36" t="s">
        <v>14</v>
      </c>
      <c r="H1490" s="36" t="str">
        <f>IFERROR(VLOOKUP(Table2[[#This Row], [Ticket]],Okey!A:B,2,0),"")</f>
        <v/>
      </c>
      <c r="I1490" s="36" t="s">
        <v>9720</v>
      </c>
      <c r="J1490" s="36" t="s">
        <v>19</v>
      </c>
      <c r="L1490" s="36"/>
    </row>
    <row r="1491" spans="1:12">
      <c r="A1491" s="42">
        <f t="shared" si="23"/>
        <v>1490</v>
      </c>
      <c r="B1491" s="36" t="s">
        <v>8</v>
      </c>
      <c r="C1491" s="36" t="s">
        <v>9621</v>
      </c>
      <c r="D1491" s="9" t="s">
        <v>9683</v>
      </c>
      <c r="E1491" s="9" t="s">
        <v>9623</v>
      </c>
      <c r="F1491" s="36" t="s">
        <v>9682</v>
      </c>
      <c r="G1491" s="36" t="s">
        <v>14</v>
      </c>
      <c r="H1491" s="36" t="str">
        <f>IFERROR(VLOOKUP(Table2[[#This Row], [Ticket]],Okey!A:B,2,0),"")</f>
        <v/>
      </c>
      <c r="I1491" s="36" t="s">
        <v>9720</v>
      </c>
      <c r="J1491" s="36" t="s">
        <v>19</v>
      </c>
      <c r="L1491" s="36"/>
    </row>
    <row r="1492" spans="1:12">
      <c r="A1492" s="42">
        <f t="shared" si="23"/>
        <v>1491</v>
      </c>
      <c r="B1492" s="36" t="s">
        <v>8</v>
      </c>
      <c r="C1492" s="36" t="s">
        <v>9621</v>
      </c>
      <c r="D1492" s="9" t="s">
        <v>9684</v>
      </c>
      <c r="E1492" s="9" t="s">
        <v>9624</v>
      </c>
      <c r="F1492" s="36" t="s">
        <v>9683</v>
      </c>
      <c r="G1492" s="36" t="s">
        <v>14</v>
      </c>
      <c r="H1492" s="36" t="str">
        <f>IFERROR(VLOOKUP(Table2[[#This Row], [Ticket]],Okey!A:B,2,0),"")</f>
        <v/>
      </c>
      <c r="I1492" s="36" t="s">
        <v>9720</v>
      </c>
      <c r="J1492" s="36" t="s">
        <v>19</v>
      </c>
      <c r="L1492" s="36"/>
    </row>
    <row r="1493" spans="1:12">
      <c r="A1493" s="42">
        <f t="shared" ref="A1493:A1522" si="24">1+A1492</f>
        <v>1492</v>
      </c>
      <c r="B1493" s="36" t="s">
        <v>8</v>
      </c>
      <c r="C1493" s="36" t="s">
        <v>9621</v>
      </c>
      <c r="D1493" s="9" t="s">
        <v>9685</v>
      </c>
      <c r="E1493" s="9" t="s">
        <v>9625</v>
      </c>
      <c r="F1493" s="36" t="s">
        <v>9683</v>
      </c>
      <c r="G1493" s="36" t="s">
        <v>14</v>
      </c>
      <c r="H1493" s="36" t="str">
        <f>IFERROR(VLOOKUP(Table2[[#This Row], [Ticket]],Okey!A:B,2,0),"")</f>
        <v/>
      </c>
      <c r="I1493" s="36" t="s">
        <v>9720</v>
      </c>
      <c r="J1493" s="36" t="s">
        <v>19</v>
      </c>
      <c r="L1493" s="36"/>
    </row>
    <row r="1494" spans="1:12">
      <c r="A1494" s="42">
        <f t="shared" si="24"/>
        <v>1493</v>
      </c>
      <c r="B1494" s="36" t="s">
        <v>8</v>
      </c>
      <c r="C1494" s="36" t="s">
        <v>9621</v>
      </c>
      <c r="D1494" s="9" t="s">
        <v>9686</v>
      </c>
      <c r="E1494" s="9" t="s">
        <v>9626</v>
      </c>
      <c r="F1494" s="36" t="s">
        <v>9682</v>
      </c>
      <c r="G1494" s="36" t="s">
        <v>14</v>
      </c>
      <c r="H1494" s="36" t="str">
        <f>IFERROR(VLOOKUP(Table2[[#This Row], [Ticket]],Okey!A:B,2,0),"")</f>
        <v/>
      </c>
      <c r="I1494" s="36" t="s">
        <v>9720</v>
      </c>
      <c r="J1494" s="36" t="s">
        <v>19</v>
      </c>
      <c r="L1494" s="36"/>
    </row>
    <row r="1495" spans="1:12">
      <c r="A1495" s="42">
        <f t="shared" si="24"/>
        <v>1494</v>
      </c>
      <c r="B1495" s="36" t="s">
        <v>8</v>
      </c>
      <c r="C1495" s="36" t="s">
        <v>9621</v>
      </c>
      <c r="D1495" s="9" t="s">
        <v>9687</v>
      </c>
      <c r="E1495" s="9" t="s">
        <v>9627</v>
      </c>
      <c r="F1495" s="9" t="s">
        <v>9716</v>
      </c>
      <c r="G1495" s="36" t="s">
        <v>14</v>
      </c>
      <c r="H1495" s="36" t="str">
        <f>IFERROR(VLOOKUP(Table2[[#This Row], [Ticket]],Okey!A:B,2,0),"")</f>
        <v/>
      </c>
      <c r="I1495" s="36" t="s">
        <v>9720</v>
      </c>
      <c r="J1495" s="36" t="s">
        <v>19</v>
      </c>
      <c r="L1495" s="36"/>
    </row>
    <row r="1496" spans="1:12">
      <c r="A1496" s="42">
        <f t="shared" si="24"/>
        <v>1495</v>
      </c>
      <c r="B1496" s="36" t="s">
        <v>8</v>
      </c>
      <c r="C1496" s="36" t="s">
        <v>9621</v>
      </c>
      <c r="D1496" s="9" t="s">
        <v>9688</v>
      </c>
      <c r="E1496" s="9" t="s">
        <v>9628</v>
      </c>
      <c r="F1496" s="36" t="s">
        <v>9687</v>
      </c>
      <c r="G1496" s="36" t="s">
        <v>14</v>
      </c>
      <c r="H1496" s="36" t="str">
        <f>IFERROR(VLOOKUP(Table2[[#This Row], [Ticket]],Okey!A:B,2,0),"")</f>
        <v/>
      </c>
      <c r="I1496" s="36" t="s">
        <v>9720</v>
      </c>
      <c r="J1496" s="36" t="s">
        <v>19</v>
      </c>
      <c r="L1496" s="36"/>
    </row>
    <row r="1497" spans="1:12">
      <c r="A1497" s="42">
        <f t="shared" si="24"/>
        <v>1496</v>
      </c>
      <c r="B1497" s="36" t="s">
        <v>8</v>
      </c>
      <c r="C1497" s="36" t="s">
        <v>9621</v>
      </c>
      <c r="D1497" s="9" t="s">
        <v>9689</v>
      </c>
      <c r="E1497" s="9" t="s">
        <v>9629</v>
      </c>
      <c r="F1497" s="36" t="s">
        <v>9688</v>
      </c>
      <c r="G1497" s="36" t="s">
        <v>14</v>
      </c>
      <c r="H1497" s="36" t="str">
        <f>IFERROR(VLOOKUP(Table2[[#This Row], [Ticket]],Okey!A:B,2,0),"")</f>
        <v/>
      </c>
      <c r="I1497" s="36" t="s">
        <v>9720</v>
      </c>
      <c r="J1497" s="36" t="s">
        <v>19</v>
      </c>
      <c r="L1497" s="36"/>
    </row>
    <row r="1498" spans="1:12">
      <c r="A1498" s="42">
        <f t="shared" si="24"/>
        <v>1497</v>
      </c>
      <c r="B1498" s="36" t="s">
        <v>8</v>
      </c>
      <c r="C1498" s="36" t="s">
        <v>9621</v>
      </c>
      <c r="D1498" s="9" t="s">
        <v>9690</v>
      </c>
      <c r="E1498" s="9" t="s">
        <v>9630</v>
      </c>
      <c r="F1498" s="36" t="s">
        <v>9688</v>
      </c>
      <c r="G1498" s="36" t="s">
        <v>14</v>
      </c>
      <c r="H1498" s="36" t="str">
        <f>IFERROR(VLOOKUP(Table2[[#This Row], [Ticket]],Okey!A:B,2,0),"")</f>
        <v/>
      </c>
      <c r="I1498" s="36" t="s">
        <v>9720</v>
      </c>
      <c r="J1498" s="36" t="s">
        <v>19</v>
      </c>
      <c r="L1498" s="36"/>
    </row>
    <row r="1499" spans="1:12">
      <c r="A1499" s="42">
        <f t="shared" si="24"/>
        <v>1498</v>
      </c>
      <c r="B1499" s="36" t="s">
        <v>8</v>
      </c>
      <c r="C1499" s="36" t="s">
        <v>9621</v>
      </c>
      <c r="D1499" s="9" t="s">
        <v>9691</v>
      </c>
      <c r="E1499" s="9" t="s">
        <v>9631</v>
      </c>
      <c r="F1499" s="36" t="s">
        <v>9687</v>
      </c>
      <c r="G1499" s="36" t="s">
        <v>14</v>
      </c>
      <c r="H1499" s="36" t="str">
        <f>IFERROR(VLOOKUP(Table2[[#This Row], [Ticket]],Okey!A:B,2,0),"")</f>
        <v/>
      </c>
      <c r="I1499" s="36" t="s">
        <v>9720</v>
      </c>
      <c r="J1499" s="36" t="s">
        <v>19</v>
      </c>
      <c r="L1499" s="36"/>
    </row>
    <row r="1500" spans="1:12">
      <c r="A1500" s="42">
        <f t="shared" si="24"/>
        <v>1499</v>
      </c>
      <c r="B1500" s="36" t="s">
        <v>8</v>
      </c>
      <c r="C1500" s="9" t="s">
        <v>9632</v>
      </c>
      <c r="D1500" s="9" t="s">
        <v>9692</v>
      </c>
      <c r="E1500" s="9" t="s">
        <v>9633</v>
      </c>
      <c r="F1500" s="9" t="s">
        <v>9717</v>
      </c>
      <c r="G1500" s="36" t="s">
        <v>14</v>
      </c>
      <c r="H1500" s="36" t="str">
        <f>IFERROR(VLOOKUP(Table2[[#This Row], [Ticket]],Okey!A:B,2,0),"")</f>
        <v/>
      </c>
      <c r="I1500" s="36" t="s">
        <v>9720</v>
      </c>
      <c r="J1500" s="36" t="s">
        <v>19</v>
      </c>
      <c r="L1500" s="36"/>
    </row>
    <row r="1501" spans="1:12">
      <c r="A1501" s="42">
        <f t="shared" si="24"/>
        <v>1500</v>
      </c>
      <c r="B1501" s="36" t="s">
        <v>8</v>
      </c>
      <c r="C1501" s="36" t="s">
        <v>9632</v>
      </c>
      <c r="D1501" s="9" t="s">
        <v>9693</v>
      </c>
      <c r="E1501" s="9" t="s">
        <v>9634</v>
      </c>
      <c r="F1501" s="36" t="s">
        <v>9692</v>
      </c>
      <c r="G1501" s="36" t="s">
        <v>14</v>
      </c>
      <c r="H1501" s="36" t="str">
        <f>IFERROR(VLOOKUP(Table2[[#This Row], [Ticket]],Okey!A:B,2,0),"")</f>
        <v/>
      </c>
      <c r="I1501" s="36" t="s">
        <v>9720</v>
      </c>
      <c r="J1501" s="36" t="s">
        <v>19</v>
      </c>
      <c r="L1501" s="36"/>
    </row>
    <row r="1502" spans="1:12">
      <c r="A1502" s="42">
        <f t="shared" si="24"/>
        <v>1501</v>
      </c>
      <c r="B1502" s="36" t="s">
        <v>8</v>
      </c>
      <c r="C1502" s="36" t="s">
        <v>9632</v>
      </c>
      <c r="D1502" s="9" t="s">
        <v>9694</v>
      </c>
      <c r="E1502" s="9" t="s">
        <v>9635</v>
      </c>
      <c r="F1502" s="36" t="s">
        <v>9693</v>
      </c>
      <c r="G1502" s="36" t="s">
        <v>14</v>
      </c>
      <c r="H1502" s="36" t="str">
        <f>IFERROR(VLOOKUP(Table2[[#This Row], [Ticket]],Okey!A:B,2,0),"")</f>
        <v/>
      </c>
      <c r="I1502" s="36" t="s">
        <v>9720</v>
      </c>
      <c r="J1502" s="36" t="s">
        <v>19</v>
      </c>
      <c r="L1502" s="36"/>
    </row>
    <row r="1503" spans="1:12">
      <c r="A1503" s="42">
        <f t="shared" si="24"/>
        <v>1502</v>
      </c>
      <c r="B1503" s="36" t="s">
        <v>8</v>
      </c>
      <c r="C1503" s="36" t="s">
        <v>9632</v>
      </c>
      <c r="D1503" s="9" t="s">
        <v>9695</v>
      </c>
      <c r="E1503" s="9" t="s">
        <v>9636</v>
      </c>
      <c r="F1503" s="36" t="s">
        <v>9693</v>
      </c>
      <c r="G1503" s="36" t="s">
        <v>14</v>
      </c>
      <c r="H1503" s="36" t="str">
        <f>IFERROR(VLOOKUP(Table2[[#This Row], [Ticket]],Okey!A:B,2,0),"")</f>
        <v/>
      </c>
      <c r="I1503" s="36" t="s">
        <v>9720</v>
      </c>
      <c r="J1503" s="36" t="s">
        <v>19</v>
      </c>
      <c r="L1503" s="36"/>
    </row>
    <row r="1504" spans="1:12">
      <c r="A1504" s="42">
        <f t="shared" si="24"/>
        <v>1503</v>
      </c>
      <c r="B1504" s="36" t="s">
        <v>8</v>
      </c>
      <c r="C1504" s="36" t="s">
        <v>9632</v>
      </c>
      <c r="D1504" s="9" t="s">
        <v>9696</v>
      </c>
      <c r="E1504" s="9" t="s">
        <v>9637</v>
      </c>
      <c r="F1504" s="36" t="s">
        <v>9693</v>
      </c>
      <c r="G1504" s="36" t="s">
        <v>14</v>
      </c>
      <c r="H1504" s="36" t="str">
        <f>IFERROR(VLOOKUP(Table2[[#This Row], [Ticket]],Okey!A:B,2,0),"")</f>
        <v/>
      </c>
      <c r="I1504" s="36" t="s">
        <v>9720</v>
      </c>
      <c r="J1504" s="36" t="s">
        <v>19</v>
      </c>
      <c r="L1504" s="36"/>
    </row>
    <row r="1505" spans="1:12">
      <c r="A1505" s="42">
        <f t="shared" si="24"/>
        <v>1504</v>
      </c>
      <c r="B1505" s="36" t="s">
        <v>8</v>
      </c>
      <c r="C1505" s="36" t="s">
        <v>9632</v>
      </c>
      <c r="D1505" s="9" t="s">
        <v>9697</v>
      </c>
      <c r="E1505" s="9" t="s">
        <v>9638</v>
      </c>
      <c r="F1505" s="36" t="s">
        <v>9692</v>
      </c>
      <c r="G1505" s="36" t="s">
        <v>14</v>
      </c>
      <c r="H1505" s="36" t="str">
        <f>IFERROR(VLOOKUP(Table2[[#This Row], [Ticket]],Okey!A:B,2,0),"")</f>
        <v/>
      </c>
      <c r="I1505" s="36" t="s">
        <v>9720</v>
      </c>
      <c r="J1505" s="36" t="s">
        <v>19</v>
      </c>
      <c r="L1505" s="36"/>
    </row>
    <row r="1506" spans="1:12">
      <c r="A1506" s="42">
        <f t="shared" si="24"/>
        <v>1505</v>
      </c>
      <c r="B1506" s="36" t="s">
        <v>8</v>
      </c>
      <c r="C1506" s="36" t="s">
        <v>9632</v>
      </c>
      <c r="D1506" s="9" t="s">
        <v>9698</v>
      </c>
      <c r="E1506" s="9" t="s">
        <v>9639</v>
      </c>
      <c r="F1506" s="36" t="s">
        <v>9697</v>
      </c>
      <c r="G1506" s="36" t="s">
        <v>14</v>
      </c>
      <c r="H1506" s="36" t="str">
        <f>IFERROR(VLOOKUP(Table2[[#This Row], [Ticket]],Okey!A:B,2,0),"")</f>
        <v/>
      </c>
      <c r="I1506" s="36" t="s">
        <v>9720</v>
      </c>
      <c r="J1506" s="36" t="s">
        <v>19</v>
      </c>
      <c r="L1506" s="36"/>
    </row>
    <row r="1507" spans="1:12">
      <c r="A1507" s="42">
        <f t="shared" si="24"/>
        <v>1506</v>
      </c>
      <c r="B1507" s="36" t="s">
        <v>8</v>
      </c>
      <c r="C1507" s="36" t="s">
        <v>9632</v>
      </c>
      <c r="D1507" s="9" t="s">
        <v>9699</v>
      </c>
      <c r="E1507" s="9" t="s">
        <v>9640</v>
      </c>
      <c r="F1507" s="36" t="s">
        <v>9697</v>
      </c>
      <c r="G1507" s="36" t="s">
        <v>14</v>
      </c>
      <c r="H1507" s="36" t="str">
        <f>IFERROR(VLOOKUP(Table2[[#This Row], [Ticket]],Okey!A:B,2,0),"")</f>
        <v/>
      </c>
      <c r="I1507" s="36" t="s">
        <v>9720</v>
      </c>
      <c r="J1507" s="36" t="s">
        <v>19</v>
      </c>
      <c r="L1507" s="36"/>
    </row>
    <row r="1508" spans="1:12">
      <c r="A1508" s="42">
        <f t="shared" si="24"/>
        <v>1507</v>
      </c>
      <c r="B1508" s="36" t="s">
        <v>8</v>
      </c>
      <c r="C1508" s="36" t="s">
        <v>9632</v>
      </c>
      <c r="D1508" s="9" t="s">
        <v>9700</v>
      </c>
      <c r="E1508" s="9" t="s">
        <v>9641</v>
      </c>
      <c r="F1508" s="36" t="s">
        <v>9697</v>
      </c>
      <c r="G1508" s="36" t="s">
        <v>14</v>
      </c>
      <c r="H1508" s="36" t="str">
        <f>IFERROR(VLOOKUP(Table2[[#This Row], [Ticket]],Okey!A:B,2,0),"")</f>
        <v/>
      </c>
      <c r="I1508" s="36" t="s">
        <v>9720</v>
      </c>
      <c r="J1508" s="36" t="s">
        <v>19</v>
      </c>
      <c r="L1508" s="36"/>
    </row>
    <row r="1509" spans="1:12">
      <c r="A1509" s="42">
        <f t="shared" si="24"/>
        <v>1508</v>
      </c>
      <c r="B1509" s="36" t="s">
        <v>8</v>
      </c>
      <c r="C1509" s="36" t="s">
        <v>9632</v>
      </c>
      <c r="D1509" s="9" t="s">
        <v>9701</v>
      </c>
      <c r="E1509" s="9" t="s">
        <v>9642</v>
      </c>
      <c r="F1509" s="36" t="s">
        <v>9697</v>
      </c>
      <c r="G1509" s="36" t="s">
        <v>14</v>
      </c>
      <c r="H1509" s="36" t="str">
        <f>IFERROR(VLOOKUP(Table2[[#This Row], [Ticket]],Okey!A:B,2,0),"")</f>
        <v/>
      </c>
      <c r="I1509" s="36" t="s">
        <v>9720</v>
      </c>
      <c r="J1509" s="36" t="s">
        <v>19</v>
      </c>
      <c r="L1509" s="36"/>
    </row>
    <row r="1510" spans="1:12">
      <c r="A1510" s="42">
        <f t="shared" si="24"/>
        <v>1509</v>
      </c>
      <c r="B1510" s="36" t="s">
        <v>8</v>
      </c>
      <c r="C1510" s="36" t="s">
        <v>9632</v>
      </c>
      <c r="D1510" s="9" t="s">
        <v>9702</v>
      </c>
      <c r="E1510" s="9" t="s">
        <v>9643</v>
      </c>
      <c r="F1510" s="36" t="s">
        <v>9697</v>
      </c>
      <c r="G1510" s="36" t="s">
        <v>14</v>
      </c>
      <c r="H1510" s="36" t="str">
        <f>IFERROR(VLOOKUP(Table2[[#This Row], [Ticket]],Okey!A:B,2,0),"")</f>
        <v/>
      </c>
      <c r="I1510" s="36" t="s">
        <v>9720</v>
      </c>
      <c r="J1510" s="36" t="s">
        <v>19</v>
      </c>
      <c r="L1510" s="36"/>
    </row>
    <row r="1511" spans="1:12">
      <c r="A1511" s="42">
        <f t="shared" si="24"/>
        <v>1510</v>
      </c>
      <c r="B1511" s="36" t="s">
        <v>8</v>
      </c>
      <c r="C1511" s="36" t="s">
        <v>9632</v>
      </c>
      <c r="D1511" s="9" t="s">
        <v>9703</v>
      </c>
      <c r="E1511" s="9" t="s">
        <v>9644</v>
      </c>
      <c r="F1511" s="36" t="s">
        <v>9697</v>
      </c>
      <c r="G1511" s="36" t="s">
        <v>14</v>
      </c>
      <c r="H1511" s="36" t="str">
        <f>IFERROR(VLOOKUP(Table2[[#This Row], [Ticket]],Okey!A:B,2,0),"")</f>
        <v/>
      </c>
      <c r="I1511" s="36" t="s">
        <v>9720</v>
      </c>
      <c r="J1511" s="36" t="s">
        <v>19</v>
      </c>
      <c r="L1511" s="36"/>
    </row>
    <row r="1512" spans="1:12">
      <c r="A1512" s="42">
        <f t="shared" si="24"/>
        <v>1511</v>
      </c>
      <c r="B1512" s="36" t="s">
        <v>8</v>
      </c>
      <c r="C1512" s="36" t="s">
        <v>9632</v>
      </c>
      <c r="D1512" s="9" t="s">
        <v>9704</v>
      </c>
      <c r="E1512" s="9" t="s">
        <v>9645</v>
      </c>
      <c r="F1512" s="36" t="s">
        <v>9697</v>
      </c>
      <c r="G1512" s="36" t="s">
        <v>14</v>
      </c>
      <c r="H1512" s="36" t="str">
        <f>IFERROR(VLOOKUP(Table2[[#This Row], [Ticket]],Okey!A:B,2,0),"")</f>
        <v/>
      </c>
      <c r="I1512" s="36" t="s">
        <v>9720</v>
      </c>
      <c r="J1512" s="36" t="s">
        <v>19</v>
      </c>
      <c r="L1512" s="36"/>
    </row>
    <row r="1513" spans="1:12">
      <c r="A1513" s="42">
        <f t="shared" si="24"/>
        <v>1512</v>
      </c>
      <c r="B1513" s="36" t="s">
        <v>8</v>
      </c>
      <c r="C1513" s="36" t="s">
        <v>9632</v>
      </c>
      <c r="D1513" s="9" t="s">
        <v>9705</v>
      </c>
      <c r="E1513" s="9" t="s">
        <v>9633</v>
      </c>
      <c r="F1513" s="9" t="s">
        <v>9718</v>
      </c>
      <c r="G1513" s="36" t="s">
        <v>14</v>
      </c>
      <c r="H1513" s="36" t="str">
        <f>IFERROR(VLOOKUP(Table2[[#This Row], [Ticket]],Okey!A:B,2,0),"")</f>
        <v/>
      </c>
      <c r="I1513" s="36" t="s">
        <v>9720</v>
      </c>
      <c r="J1513" s="36" t="s">
        <v>19</v>
      </c>
      <c r="L1513" s="36"/>
    </row>
    <row r="1514" spans="1:12">
      <c r="A1514" s="42">
        <f t="shared" si="24"/>
        <v>1513</v>
      </c>
      <c r="B1514" s="36" t="s">
        <v>8</v>
      </c>
      <c r="C1514" s="36" t="s">
        <v>9632</v>
      </c>
      <c r="D1514" s="9" t="s">
        <v>9706</v>
      </c>
      <c r="E1514" s="9" t="s">
        <v>9634</v>
      </c>
      <c r="F1514" s="36" t="s">
        <v>9705</v>
      </c>
      <c r="G1514" s="36" t="s">
        <v>14</v>
      </c>
      <c r="H1514" s="36" t="str">
        <f>IFERROR(VLOOKUP(Table2[[#This Row], [Ticket]],Okey!A:B,2,0),"")</f>
        <v/>
      </c>
      <c r="I1514" s="36" t="s">
        <v>9720</v>
      </c>
      <c r="J1514" s="36" t="s">
        <v>19</v>
      </c>
      <c r="L1514" s="36"/>
    </row>
    <row r="1515" spans="1:12">
      <c r="A1515" s="42">
        <f t="shared" si="24"/>
        <v>1514</v>
      </c>
      <c r="B1515" s="36" t="s">
        <v>8</v>
      </c>
      <c r="C1515" s="36" t="s">
        <v>9632</v>
      </c>
      <c r="D1515" s="9" t="s">
        <v>9707</v>
      </c>
      <c r="E1515" s="9" t="s">
        <v>9646</v>
      </c>
      <c r="F1515" s="36" t="s">
        <v>9706</v>
      </c>
      <c r="G1515" s="36" t="s">
        <v>14</v>
      </c>
      <c r="H1515" s="36" t="str">
        <f>IFERROR(VLOOKUP(Table2[[#This Row], [Ticket]],Okey!A:B,2,0),"")</f>
        <v/>
      </c>
      <c r="I1515" s="36" t="s">
        <v>9720</v>
      </c>
      <c r="J1515" s="36" t="s">
        <v>19</v>
      </c>
      <c r="L1515" s="36"/>
    </row>
    <row r="1516" spans="1:12">
      <c r="A1516" s="42">
        <f t="shared" si="24"/>
        <v>1515</v>
      </c>
      <c r="B1516" s="36" t="s">
        <v>8</v>
      </c>
      <c r="C1516" s="36" t="s">
        <v>9632</v>
      </c>
      <c r="D1516" s="9" t="s">
        <v>9708</v>
      </c>
      <c r="E1516" s="9" t="s">
        <v>9638</v>
      </c>
      <c r="F1516" s="36" t="s">
        <v>9705</v>
      </c>
      <c r="G1516" s="36" t="s">
        <v>14</v>
      </c>
      <c r="H1516" s="36" t="str">
        <f>IFERROR(VLOOKUP(Table2[[#This Row], [Ticket]],Okey!A:B,2,0),"")</f>
        <v/>
      </c>
      <c r="I1516" s="36" t="s">
        <v>9720</v>
      </c>
      <c r="J1516" s="36" t="s">
        <v>19</v>
      </c>
      <c r="L1516" s="36"/>
    </row>
    <row r="1517" spans="1:12">
      <c r="A1517" s="42">
        <f t="shared" si="24"/>
        <v>1516</v>
      </c>
      <c r="B1517" s="36" t="s">
        <v>8</v>
      </c>
      <c r="C1517" s="36" t="s">
        <v>9632</v>
      </c>
      <c r="D1517" s="9" t="s">
        <v>9709</v>
      </c>
      <c r="E1517" s="9" t="s">
        <v>9647</v>
      </c>
      <c r="F1517" s="36" t="s">
        <v>9708</v>
      </c>
      <c r="G1517" s="36" t="s">
        <v>14</v>
      </c>
      <c r="H1517" s="36" t="str">
        <f>IFERROR(VLOOKUP(Table2[[#This Row], [Ticket]],Okey!A:B,2,0),"")</f>
        <v/>
      </c>
      <c r="I1517" s="36" t="s">
        <v>9720</v>
      </c>
      <c r="J1517" s="36" t="s">
        <v>19</v>
      </c>
      <c r="L1517" s="36"/>
    </row>
    <row r="1518" spans="1:12">
      <c r="A1518" s="42">
        <f t="shared" si="24"/>
        <v>1517</v>
      </c>
      <c r="B1518" s="36" t="s">
        <v>8</v>
      </c>
      <c r="C1518" s="36" t="s">
        <v>9632</v>
      </c>
      <c r="D1518" s="9" t="s">
        <v>9710</v>
      </c>
      <c r="E1518" s="9" t="s">
        <v>9648</v>
      </c>
      <c r="F1518" s="9" t="s">
        <v>9708</v>
      </c>
      <c r="G1518" s="36" t="s">
        <v>14</v>
      </c>
      <c r="H1518" s="36" t="str">
        <f>IFERROR(VLOOKUP(Table2[[#This Row], [Ticket]],Okey!A:B,2,0),"")</f>
        <v/>
      </c>
      <c r="I1518" s="36" t="s">
        <v>9720</v>
      </c>
      <c r="J1518" s="36" t="s">
        <v>19</v>
      </c>
      <c r="L1518" s="36"/>
    </row>
    <row r="1519" spans="1:12">
      <c r="A1519" s="42">
        <f t="shared" si="24"/>
        <v>1518</v>
      </c>
      <c r="B1519" s="36" t="s">
        <v>8</v>
      </c>
      <c r="C1519" s="36" t="s">
        <v>9632</v>
      </c>
      <c r="D1519" s="9" t="s">
        <v>9711</v>
      </c>
      <c r="E1519" s="9" t="s">
        <v>9649</v>
      </c>
      <c r="F1519" s="36" t="s">
        <v>9708</v>
      </c>
      <c r="G1519" s="36" t="s">
        <v>14</v>
      </c>
      <c r="H1519" s="36" t="str">
        <f>IFERROR(VLOOKUP(Table2[[#This Row], [Ticket]],Okey!A:B,2,0),"")</f>
        <v/>
      </c>
      <c r="I1519" s="36" t="s">
        <v>9720</v>
      </c>
      <c r="J1519" s="36" t="s">
        <v>19</v>
      </c>
      <c r="L1519" s="36"/>
    </row>
    <row r="1520" spans="1:12">
      <c r="A1520" s="42">
        <f t="shared" si="24"/>
        <v>1519</v>
      </c>
      <c r="B1520" s="36" t="s">
        <v>8</v>
      </c>
      <c r="C1520" s="36" t="s">
        <v>9632</v>
      </c>
      <c r="D1520" s="9" t="s">
        <v>9712</v>
      </c>
      <c r="E1520" s="9" t="s">
        <v>9650</v>
      </c>
      <c r="F1520" s="36" t="s">
        <v>9708</v>
      </c>
      <c r="G1520" s="36" t="s">
        <v>14</v>
      </c>
      <c r="H1520" s="36" t="str">
        <f>IFERROR(VLOOKUP(Table2[[#This Row], [Ticket]],Okey!A:B,2,0),"")</f>
        <v/>
      </c>
      <c r="I1520" s="36" t="s">
        <v>9720</v>
      </c>
      <c r="J1520" s="36" t="s">
        <v>19</v>
      </c>
      <c r="L1520" s="36"/>
    </row>
    <row r="1521" spans="1:12">
      <c r="A1521" s="42">
        <f t="shared" si="24"/>
        <v>1520</v>
      </c>
      <c r="B1521" s="36" t="s">
        <v>8</v>
      </c>
      <c r="C1521" s="36" t="s">
        <v>9632</v>
      </c>
      <c r="D1521" s="9" t="s">
        <v>9713</v>
      </c>
      <c r="E1521" s="9" t="s">
        <v>9651</v>
      </c>
      <c r="F1521" s="36" t="s">
        <v>9708</v>
      </c>
      <c r="G1521" s="36" t="s">
        <v>14</v>
      </c>
      <c r="H1521" s="36" t="str">
        <f>IFERROR(VLOOKUP(Table2[[#This Row], [Ticket]],Okey!A:B,2,0),"")</f>
        <v/>
      </c>
      <c r="I1521" s="36" t="s">
        <v>9720</v>
      </c>
      <c r="J1521" s="36" t="s">
        <v>19</v>
      </c>
      <c r="L1521" s="36"/>
    </row>
    <row r="1522" spans="1:12">
      <c r="A1522" s="42">
        <f t="shared" si="24"/>
        <v>1521</v>
      </c>
      <c r="B1522" s="36" t="s">
        <v>8</v>
      </c>
      <c r="C1522" s="36" t="s">
        <v>9632</v>
      </c>
      <c r="D1522" s="9" t="s">
        <v>9714</v>
      </c>
      <c r="E1522" s="9" t="s">
        <v>9652</v>
      </c>
      <c r="F1522" s="36" t="s">
        <v>9708</v>
      </c>
      <c r="G1522" s="36" t="s">
        <v>14</v>
      </c>
      <c r="H1522" s="36" t="str">
        <f>IFERROR(VLOOKUP(Table2[[#This Row], [Ticket]],Okey!A:B,2,0),"")</f>
        <v/>
      </c>
      <c r="I1522" s="36" t="s">
        <v>9720</v>
      </c>
      <c r="J1522" s="36" t="s">
        <v>19</v>
      </c>
      <c r="L1522" s="36"/>
    </row>
  </sheetData>
  <phoneticPr fontId="23" type="noConversion"/>
  <conditionalFormatting sqref="D2:D866 D869:D872">
    <cfRule type="duplicateValues" dxfId="43" priority="44"/>
  </conditionalFormatting>
  <conditionalFormatting sqref="K866:K868">
    <cfRule type="duplicateValues" dxfId="42" priority="43"/>
  </conditionalFormatting>
  <conditionalFormatting sqref="K867">
    <cfRule type="duplicateValues" dxfId="41" priority="42"/>
  </conditionalFormatting>
  <conditionalFormatting sqref="K868">
    <cfRule type="duplicateValues" dxfId="40" priority="41"/>
  </conditionalFormatting>
  <conditionalFormatting sqref="F867">
    <cfRule type="duplicateValues" dxfId="39" priority="40"/>
  </conditionalFormatting>
  <conditionalFormatting sqref="F868">
    <cfRule type="duplicateValues" dxfId="38" priority="39"/>
  </conditionalFormatting>
  <conditionalFormatting sqref="F872">
    <cfRule type="duplicateValues" dxfId="37" priority="38"/>
  </conditionalFormatting>
  <conditionalFormatting sqref="D867">
    <cfRule type="duplicateValues" dxfId="36" priority="37"/>
  </conditionalFormatting>
  <conditionalFormatting sqref="D868">
    <cfRule type="duplicateValues" dxfId="35" priority="36"/>
  </conditionalFormatting>
  <conditionalFormatting sqref="D873">
    <cfRule type="duplicateValues" dxfId="34" priority="35"/>
  </conditionalFormatting>
  <conditionalFormatting sqref="D889">
    <cfRule type="duplicateValues" dxfId="33" priority="34"/>
  </conditionalFormatting>
  <conditionalFormatting sqref="K889 K873">
    <cfRule type="duplicateValues" dxfId="32" priority="33"/>
  </conditionalFormatting>
  <conditionalFormatting sqref="D1356">
    <cfRule type="duplicateValues" dxfId="31" priority="32"/>
  </conditionalFormatting>
  <conditionalFormatting sqref="D2:D1522">
    <cfRule type="duplicateValues" dxfId="30" priority="45"/>
  </conditionalFormatting>
  <conditionalFormatting sqref="F1459">
    <cfRule type="duplicateValues" dxfId="29" priority="30"/>
  </conditionalFormatting>
  <conditionalFormatting sqref="F1460">
    <cfRule type="duplicateValues" dxfId="28" priority="29"/>
  </conditionalFormatting>
  <conditionalFormatting sqref="F1461">
    <cfRule type="duplicateValues" dxfId="27" priority="28"/>
  </conditionalFormatting>
  <conditionalFormatting sqref="F1463">
    <cfRule type="duplicateValues" dxfId="26" priority="27"/>
  </conditionalFormatting>
  <conditionalFormatting sqref="F1464">
    <cfRule type="duplicateValues" dxfId="25" priority="26"/>
  </conditionalFormatting>
  <conditionalFormatting sqref="F1473">
    <cfRule type="duplicateValues" dxfId="24" priority="25"/>
  </conditionalFormatting>
  <conditionalFormatting sqref="F1491">
    <cfRule type="duplicateValues" dxfId="23" priority="24"/>
  </conditionalFormatting>
  <conditionalFormatting sqref="F1492">
    <cfRule type="duplicateValues" dxfId="22" priority="23"/>
  </conditionalFormatting>
  <conditionalFormatting sqref="F1493">
    <cfRule type="duplicateValues" dxfId="21" priority="22"/>
  </conditionalFormatting>
  <conditionalFormatting sqref="F1494">
    <cfRule type="duplicateValues" dxfId="20" priority="21"/>
  </conditionalFormatting>
  <conditionalFormatting sqref="F1496">
    <cfRule type="duplicateValues" dxfId="19" priority="20"/>
  </conditionalFormatting>
  <conditionalFormatting sqref="F1497">
    <cfRule type="duplicateValues" dxfId="18" priority="19"/>
  </conditionalFormatting>
  <conditionalFormatting sqref="F1498">
    <cfRule type="duplicateValues" dxfId="17" priority="18"/>
  </conditionalFormatting>
  <conditionalFormatting sqref="F1499">
    <cfRule type="duplicateValues" dxfId="16" priority="17"/>
  </conditionalFormatting>
  <conditionalFormatting sqref="F1501">
    <cfRule type="duplicateValues" dxfId="15" priority="16"/>
  </conditionalFormatting>
  <conditionalFormatting sqref="F1502">
    <cfRule type="duplicateValues" dxfId="14" priority="15"/>
  </conditionalFormatting>
  <conditionalFormatting sqref="F1503">
    <cfRule type="duplicateValues" dxfId="13" priority="14"/>
  </conditionalFormatting>
  <conditionalFormatting sqref="F1504">
    <cfRule type="duplicateValues" dxfId="12" priority="13"/>
  </conditionalFormatting>
  <conditionalFormatting sqref="F1505">
    <cfRule type="duplicateValues" dxfId="11" priority="12"/>
  </conditionalFormatting>
  <conditionalFormatting sqref="F1506">
    <cfRule type="duplicateValues" dxfId="10" priority="11"/>
  </conditionalFormatting>
  <conditionalFormatting sqref="F1507">
    <cfRule type="duplicateValues" dxfId="9" priority="10"/>
  </conditionalFormatting>
  <conditionalFormatting sqref="F1508">
    <cfRule type="duplicateValues" dxfId="8" priority="9"/>
  </conditionalFormatting>
  <conditionalFormatting sqref="F1509">
    <cfRule type="duplicateValues" dxfId="7" priority="8"/>
  </conditionalFormatting>
  <conditionalFormatting sqref="F1510">
    <cfRule type="duplicateValues" dxfId="6" priority="7"/>
  </conditionalFormatting>
  <conditionalFormatting sqref="F1511">
    <cfRule type="duplicateValues" dxfId="5" priority="6"/>
  </conditionalFormatting>
  <conditionalFormatting sqref="F1512">
    <cfRule type="duplicateValues" dxfId="4" priority="5"/>
  </conditionalFormatting>
  <conditionalFormatting sqref="F1514">
    <cfRule type="duplicateValues" dxfId="3" priority="4"/>
  </conditionalFormatting>
  <conditionalFormatting sqref="F1515">
    <cfRule type="duplicateValues" dxfId="2" priority="3"/>
  </conditionalFormatting>
  <conditionalFormatting sqref="F1516">
    <cfRule type="duplicateValues" dxfId="1" priority="2"/>
  </conditionalFormatting>
  <conditionalFormatting sqref="F1517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D987-E3CC-421B-AFA0-71B0D968F325}">
  <dimension ref="A1:M120"/>
  <sheetViews>
    <sheetView workbookViewId="0">
      <selection activeCell="L1" sqref="L1:M26"/>
    </sheetView>
  </sheetViews>
  <sheetFormatPr defaultRowHeight="15"/>
  <cols>
    <col min="1" max="1" width="11.28515625" bestFit="1" customWidth="1"/>
    <col min="2" max="2" width="40.5703125" bestFit="1" customWidth="1"/>
    <col min="9" max="9" width="11.7109375" bestFit="1" customWidth="1"/>
  </cols>
  <sheetData>
    <row r="1" spans="1:13">
      <c r="A1">
        <v>1000</v>
      </c>
      <c r="I1">
        <v>1000</v>
      </c>
      <c r="L1">
        <v>1000</v>
      </c>
      <c r="M1" t="s">
        <v>9719</v>
      </c>
    </row>
    <row r="2" spans="1:13">
      <c r="A2" t="s">
        <v>9477</v>
      </c>
      <c r="B2" t="s">
        <v>9438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1139</v>
      </c>
      <c r="J2" t="s">
        <v>9477</v>
      </c>
      <c r="L2" t="s">
        <v>9547</v>
      </c>
      <c r="M2" t="s">
        <v>9552</v>
      </c>
    </row>
    <row r="3" spans="1:13">
      <c r="A3" t="s">
        <v>9478</v>
      </c>
      <c r="B3" t="s">
        <v>9439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9477</v>
      </c>
      <c r="J3" t="s">
        <v>9478</v>
      </c>
      <c r="L3" t="s">
        <v>9549</v>
      </c>
      <c r="M3" t="s">
        <v>9553</v>
      </c>
    </row>
    <row r="4" spans="1:13">
      <c r="A4" t="s">
        <v>9479</v>
      </c>
      <c r="B4" t="s">
        <v>9440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9478</v>
      </c>
      <c r="J4" t="s">
        <v>9479</v>
      </c>
      <c r="L4" t="s">
        <v>9578</v>
      </c>
      <c r="M4" t="s">
        <v>9559</v>
      </c>
    </row>
    <row r="5" spans="1:13">
      <c r="A5" t="s">
        <v>9480</v>
      </c>
      <c r="B5" t="s">
        <v>9441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9479</v>
      </c>
      <c r="J5" t="s">
        <v>9480</v>
      </c>
      <c r="L5" t="s">
        <v>9578</v>
      </c>
      <c r="M5" t="s">
        <v>9560</v>
      </c>
    </row>
    <row r="6" spans="1:13">
      <c r="A6" t="s">
        <v>9481</v>
      </c>
      <c r="B6" t="s">
        <v>9442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9480</v>
      </c>
      <c r="J6" t="s">
        <v>9481</v>
      </c>
      <c r="L6" t="s">
        <v>9578</v>
      </c>
      <c r="M6" t="s">
        <v>9561</v>
      </c>
    </row>
    <row r="7" spans="1:13">
      <c r="A7" t="s">
        <v>9482</v>
      </c>
      <c r="B7" t="s">
        <v>9443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9480</v>
      </c>
      <c r="J7" t="s">
        <v>9482</v>
      </c>
      <c r="L7" t="s">
        <v>9578</v>
      </c>
      <c r="M7" t="s">
        <v>9562</v>
      </c>
    </row>
    <row r="8" spans="1:13">
      <c r="A8" t="s">
        <v>9483</v>
      </c>
      <c r="B8" t="s">
        <v>9444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  <c r="I8" t="s">
        <v>9480</v>
      </c>
      <c r="J8" t="s">
        <v>9483</v>
      </c>
      <c r="L8" t="s">
        <v>9578</v>
      </c>
      <c r="M8" t="s">
        <v>9563</v>
      </c>
    </row>
    <row r="9" spans="1:13">
      <c r="A9" t="s">
        <v>9484</v>
      </c>
      <c r="B9" t="s">
        <v>9445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  <c r="I9" t="s">
        <v>9480</v>
      </c>
      <c r="J9" t="s">
        <v>9484</v>
      </c>
      <c r="L9" t="s">
        <v>9578</v>
      </c>
      <c r="M9" t="s">
        <v>9564</v>
      </c>
    </row>
    <row r="10" spans="1:13">
      <c r="A10" t="s">
        <v>9485</v>
      </c>
      <c r="B10" t="s">
        <v>9446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  <c r="I10" t="s">
        <v>9477</v>
      </c>
      <c r="J10" t="s">
        <v>9485</v>
      </c>
      <c r="L10" t="s">
        <v>9578</v>
      </c>
      <c r="M10" t="s">
        <v>9565</v>
      </c>
    </row>
    <row r="11" spans="1:13">
      <c r="A11" t="s">
        <v>9486</v>
      </c>
      <c r="B11" t="s">
        <v>9447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  <c r="I11" t="s">
        <v>9485</v>
      </c>
      <c r="J11" t="s">
        <v>9486</v>
      </c>
      <c r="L11" t="s">
        <v>9578</v>
      </c>
      <c r="M11" t="s">
        <v>9566</v>
      </c>
    </row>
    <row r="12" spans="1:13">
      <c r="A12" t="s">
        <v>9487</v>
      </c>
      <c r="B12" t="s">
        <v>9448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  <c r="I12" t="s">
        <v>9485</v>
      </c>
      <c r="J12" t="s">
        <v>9487</v>
      </c>
      <c r="L12" t="s">
        <v>9578</v>
      </c>
      <c r="M12" t="s">
        <v>1138</v>
      </c>
    </row>
    <row r="13" spans="1:13">
      <c r="A13" t="s">
        <v>9488</v>
      </c>
      <c r="B13" t="s">
        <v>9449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  <c r="I13" t="s">
        <v>9485</v>
      </c>
      <c r="J13" t="s">
        <v>9488</v>
      </c>
      <c r="L13" t="s">
        <v>9578</v>
      </c>
      <c r="M13" t="s">
        <v>9567</v>
      </c>
    </row>
    <row r="14" spans="1:13">
      <c r="A14" t="s">
        <v>9489</v>
      </c>
      <c r="B14" t="s">
        <v>9450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  <c r="I14" t="s">
        <v>9477</v>
      </c>
      <c r="J14" t="s">
        <v>9489</v>
      </c>
      <c r="L14" t="s">
        <v>9579</v>
      </c>
      <c r="M14" t="s">
        <v>9568</v>
      </c>
    </row>
    <row r="15" spans="1:13">
      <c r="A15" t="s">
        <v>9490</v>
      </c>
      <c r="B15" t="s">
        <v>9451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  <c r="I15" t="s">
        <v>9489</v>
      </c>
      <c r="J15" t="s">
        <v>9490</v>
      </c>
      <c r="L15" t="s">
        <v>9579</v>
      </c>
      <c r="M15" t="s">
        <v>9569</v>
      </c>
    </row>
    <row r="16" spans="1:13">
      <c r="A16" t="s">
        <v>9491</v>
      </c>
      <c r="B16" t="s">
        <v>9452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  <c r="I16" t="s">
        <v>9477</v>
      </c>
      <c r="J16" t="s">
        <v>9491</v>
      </c>
      <c r="L16" t="s">
        <v>9579</v>
      </c>
      <c r="M16" t="s">
        <v>9570</v>
      </c>
    </row>
    <row r="17" spans="1:13">
      <c r="A17" t="s">
        <v>9492</v>
      </c>
      <c r="B17" t="s">
        <v>9453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  <c r="I17" t="s">
        <v>9477</v>
      </c>
      <c r="J17" t="s">
        <v>9492</v>
      </c>
      <c r="L17" t="s">
        <v>9579</v>
      </c>
      <c r="M17" t="s">
        <v>9571</v>
      </c>
    </row>
    <row r="18" spans="1:13">
      <c r="A18" t="s">
        <v>9493</v>
      </c>
      <c r="B18" t="s">
        <v>9454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  <c r="I18" t="s">
        <v>9492</v>
      </c>
      <c r="J18" t="s">
        <v>9493</v>
      </c>
      <c r="L18" t="s">
        <v>9579</v>
      </c>
      <c r="M18" t="s">
        <v>9572</v>
      </c>
    </row>
    <row r="19" spans="1:13">
      <c r="A19" t="s">
        <v>9494</v>
      </c>
      <c r="B19" t="s">
        <v>9455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  <c r="I19" t="s">
        <v>9492</v>
      </c>
      <c r="J19" t="s">
        <v>9494</v>
      </c>
      <c r="L19" t="s">
        <v>9579</v>
      </c>
      <c r="M19" t="s">
        <v>9573</v>
      </c>
    </row>
    <row r="20" spans="1:13">
      <c r="A20" t="s">
        <v>9495</v>
      </c>
      <c r="B20" t="s">
        <v>9456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  <c r="I20" t="s">
        <v>9492</v>
      </c>
      <c r="J20" t="s">
        <v>9495</v>
      </c>
      <c r="L20" t="s">
        <v>9579</v>
      </c>
      <c r="M20" t="s">
        <v>9574</v>
      </c>
    </row>
    <row r="21" spans="1:13">
      <c r="A21" t="s">
        <v>9496</v>
      </c>
      <c r="B21" t="s">
        <v>9457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  <c r="I21" t="s">
        <v>1141</v>
      </c>
      <c r="J21" t="s">
        <v>9496</v>
      </c>
      <c r="L21" t="s">
        <v>9579</v>
      </c>
      <c r="M21" t="s">
        <v>9575</v>
      </c>
    </row>
    <row r="22" spans="1:13">
      <c r="A22" t="s">
        <v>9497</v>
      </c>
      <c r="B22" t="s">
        <v>9458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  <c r="I22" t="s">
        <v>9496</v>
      </c>
      <c r="J22" t="s">
        <v>9497</v>
      </c>
      <c r="L22" t="s">
        <v>9579</v>
      </c>
      <c r="M22" t="s">
        <v>1140</v>
      </c>
    </row>
    <row r="23" spans="1:13">
      <c r="A23" t="s">
        <v>9498</v>
      </c>
      <c r="B23" t="s">
        <v>9459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  <c r="I23" t="s">
        <v>9497</v>
      </c>
      <c r="J23" t="s">
        <v>9498</v>
      </c>
      <c r="L23" t="s">
        <v>9579</v>
      </c>
      <c r="M23" t="s">
        <v>9576</v>
      </c>
    </row>
    <row r="24" spans="1:13">
      <c r="A24" t="s">
        <v>9499</v>
      </c>
      <c r="B24" t="s">
        <v>9460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  <c r="I24" t="s">
        <v>9498</v>
      </c>
      <c r="J24" t="s">
        <v>9499</v>
      </c>
      <c r="L24" t="s">
        <v>5725</v>
      </c>
      <c r="M24" t="s">
        <v>3864</v>
      </c>
    </row>
    <row r="25" spans="1:13">
      <c r="A25" t="s">
        <v>9500</v>
      </c>
      <c r="B25" t="s">
        <v>9461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  <c r="I25" t="s">
        <v>9499</v>
      </c>
      <c r="J25" t="s">
        <v>9500</v>
      </c>
      <c r="L25" t="s">
        <v>275</v>
      </c>
      <c r="M25" t="s">
        <v>8108</v>
      </c>
    </row>
    <row r="26" spans="1:13">
      <c r="A26" t="s">
        <v>9501</v>
      </c>
      <c r="B26" t="s">
        <v>9462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  <c r="I26" t="s">
        <v>9499</v>
      </c>
      <c r="J26" t="s">
        <v>9501</v>
      </c>
      <c r="L26" t="s">
        <v>9421</v>
      </c>
      <c r="M26" t="s">
        <v>6112</v>
      </c>
    </row>
    <row r="27" spans="1:13">
      <c r="A27" t="s">
        <v>9502</v>
      </c>
      <c r="B27" t="s">
        <v>9463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  <c r="I27" t="s">
        <v>9499</v>
      </c>
      <c r="J27" t="s">
        <v>9502</v>
      </c>
    </row>
    <row r="28" spans="1:13">
      <c r="A28" t="s">
        <v>9503</v>
      </c>
      <c r="B28" t="s">
        <v>9464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  <c r="I28" t="s">
        <v>9499</v>
      </c>
      <c r="J28" t="s">
        <v>9503</v>
      </c>
    </row>
    <row r="29" spans="1:13">
      <c r="A29" t="s">
        <v>9504</v>
      </c>
      <c r="B29" t="s">
        <v>9465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  <c r="I29" t="s">
        <v>9496</v>
      </c>
      <c r="J29" t="s">
        <v>9504</v>
      </c>
    </row>
    <row r="30" spans="1:13">
      <c r="A30" t="s">
        <v>9505</v>
      </c>
      <c r="B30" t="s">
        <v>9466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  <c r="I30" t="s">
        <v>9504</v>
      </c>
      <c r="J30" t="s">
        <v>9505</v>
      </c>
    </row>
    <row r="31" spans="1:13">
      <c r="A31" t="s">
        <v>9506</v>
      </c>
      <c r="B31" t="s">
        <v>9467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  <c r="I31" t="s">
        <v>9504</v>
      </c>
      <c r="J31" t="s">
        <v>9506</v>
      </c>
    </row>
    <row r="32" spans="1:13">
      <c r="A32" t="s">
        <v>9507</v>
      </c>
      <c r="B32" t="s">
        <v>9468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  <c r="I32" t="s">
        <v>9504</v>
      </c>
      <c r="J32" t="s">
        <v>9507</v>
      </c>
    </row>
    <row r="33" spans="1:10">
      <c r="A33" t="s">
        <v>9508</v>
      </c>
      <c r="B33" t="s">
        <v>9469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  <c r="I33" t="s">
        <v>9496</v>
      </c>
      <c r="J33" t="s">
        <v>9508</v>
      </c>
    </row>
    <row r="34" spans="1:10">
      <c r="A34" t="s">
        <v>9509</v>
      </c>
      <c r="B34" t="s">
        <v>9470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  <c r="I34" t="s">
        <v>9508</v>
      </c>
      <c r="J34" t="s">
        <v>9509</v>
      </c>
    </row>
    <row r="35" spans="1:10">
      <c r="A35" t="s">
        <v>9510</v>
      </c>
      <c r="B35" t="s">
        <v>9471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  <c r="I35" t="s">
        <v>9496</v>
      </c>
      <c r="J35" t="s">
        <v>9510</v>
      </c>
    </row>
    <row r="36" spans="1:10">
      <c r="A36" t="s">
        <v>9511</v>
      </c>
      <c r="B36" t="s">
        <v>9472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  <c r="I36" t="s">
        <v>9496</v>
      </c>
      <c r="J36" t="s">
        <v>9511</v>
      </c>
    </row>
    <row r="37" spans="1:10">
      <c r="A37" t="s">
        <v>9512</v>
      </c>
      <c r="B37" t="s">
        <v>9473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  <c r="I37" t="s">
        <v>9492</v>
      </c>
      <c r="J37" t="s">
        <v>9512</v>
      </c>
    </row>
    <row r="38" spans="1:10">
      <c r="A38" t="s">
        <v>9513</v>
      </c>
      <c r="B38" t="s">
        <v>9474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  <c r="I38" t="s">
        <v>9492</v>
      </c>
      <c r="J38" t="s">
        <v>9513</v>
      </c>
    </row>
    <row r="39" spans="1:10">
      <c r="A39" t="s">
        <v>9514</v>
      </c>
      <c r="B39" t="s">
        <v>9475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  <c r="I39" t="s">
        <v>9492</v>
      </c>
      <c r="J39" t="s">
        <v>9514</v>
      </c>
    </row>
    <row r="40" spans="1:10">
      <c r="A40" t="s">
        <v>9520</v>
      </c>
      <c r="B40" t="s">
        <v>9519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  <c r="I40" t="s">
        <v>1668</v>
      </c>
      <c r="J40" t="s">
        <v>9520</v>
      </c>
    </row>
    <row r="41" spans="1:10">
      <c r="A41" t="s">
        <v>9532</v>
      </c>
      <c r="B41" t="s">
        <v>9523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  <c r="I41" t="s">
        <v>9521</v>
      </c>
      <c r="J41" t="s">
        <v>9532</v>
      </c>
    </row>
    <row r="42" spans="1:10">
      <c r="A42" t="s">
        <v>9533</v>
      </c>
      <c r="B42" t="s">
        <v>9524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  <c r="I42" t="s">
        <v>9521</v>
      </c>
      <c r="J42" t="s">
        <v>9533</v>
      </c>
    </row>
    <row r="43" spans="1:10">
      <c r="A43" t="s">
        <v>9534</v>
      </c>
      <c r="B43" t="s">
        <v>9525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  <c r="I43" t="s">
        <v>9521</v>
      </c>
      <c r="J43" t="s">
        <v>9534</v>
      </c>
    </row>
    <row r="44" spans="1:10">
      <c r="A44" t="s">
        <v>9535</v>
      </c>
      <c r="B44" t="s">
        <v>9526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  <c r="I44" t="s">
        <v>9521</v>
      </c>
      <c r="J44" t="s">
        <v>9535</v>
      </c>
    </row>
    <row r="45" spans="1:10">
      <c r="A45" t="s">
        <v>9536</v>
      </c>
      <c r="B45" t="s">
        <v>9527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  <c r="I45" t="s">
        <v>9521</v>
      </c>
      <c r="J45" t="s">
        <v>9536</v>
      </c>
    </row>
    <row r="46" spans="1:10">
      <c r="A46" t="s">
        <v>9537</v>
      </c>
      <c r="B46" t="s">
        <v>9528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  <c r="I46" t="s">
        <v>9521</v>
      </c>
      <c r="J46" t="s">
        <v>9537</v>
      </c>
    </row>
    <row r="47" spans="1:10">
      <c r="A47" t="s">
        <v>9538</v>
      </c>
      <c r="B47" t="s">
        <v>9529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  <c r="I47" t="s">
        <v>9521</v>
      </c>
      <c r="J47" t="s">
        <v>9538</v>
      </c>
    </row>
    <row r="48" spans="1:10">
      <c r="A48" t="s">
        <v>9539</v>
      </c>
      <c r="B48" t="s">
        <v>9530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  <c r="I48" t="s">
        <v>9522</v>
      </c>
      <c r="J48" t="s">
        <v>9539</v>
      </c>
    </row>
    <row r="49" spans="1:10">
      <c r="A49" t="s">
        <v>9540</v>
      </c>
      <c r="B49" t="s">
        <v>9531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  <c r="I49" t="s">
        <v>9522</v>
      </c>
      <c r="J49" t="s">
        <v>9540</v>
      </c>
    </row>
    <row r="50" spans="1:10">
      <c r="A50" t="s">
        <v>7862</v>
      </c>
      <c r="B50" t="s">
        <v>9542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  <c r="I50" t="s">
        <v>1139</v>
      </c>
      <c r="J50" t="s">
        <v>9578</v>
      </c>
    </row>
    <row r="51" spans="1:10">
      <c r="A51" t="s">
        <v>8857</v>
      </c>
      <c r="B51" t="s">
        <v>9545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  <c r="I51" t="s">
        <v>1141</v>
      </c>
      <c r="J51" t="s">
        <v>9579</v>
      </c>
    </row>
    <row r="52" spans="1:10">
      <c r="A52" t="s">
        <v>9547</v>
      </c>
      <c r="B52" t="s">
        <v>9550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  <c r="I52" t="s">
        <v>9675</v>
      </c>
      <c r="J52" t="s">
        <v>9653</v>
      </c>
    </row>
    <row r="53" spans="1:10">
      <c r="A53" t="s">
        <v>9548</v>
      </c>
      <c r="B53" t="s">
        <v>9550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  <c r="I53" t="s">
        <v>9653</v>
      </c>
      <c r="J53" t="s">
        <v>9654</v>
      </c>
    </row>
    <row r="54" spans="1:10">
      <c r="A54" t="s">
        <v>9549</v>
      </c>
      <c r="B54" t="s">
        <v>9551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  <c r="I54" t="s">
        <v>9653</v>
      </c>
      <c r="J54" t="s">
        <v>9655</v>
      </c>
    </row>
    <row r="55" spans="1:10">
      <c r="A55" t="s">
        <v>9549</v>
      </c>
      <c r="B55" t="s">
        <v>9551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  <c r="I55" t="s">
        <v>9653</v>
      </c>
      <c r="J55" t="s">
        <v>9656</v>
      </c>
    </row>
    <row r="56" spans="1:10">
      <c r="A56" t="s">
        <v>9578</v>
      </c>
      <c r="B56" t="s">
        <v>9557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  <c r="I56" t="s">
        <v>9674</v>
      </c>
      <c r="J56" t="s">
        <v>9657</v>
      </c>
    </row>
    <row r="57" spans="1:10">
      <c r="A57" t="s">
        <v>9579</v>
      </c>
      <c r="B57" t="s">
        <v>9558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  <c r="I57" t="s">
        <v>9657</v>
      </c>
      <c r="J57" t="s">
        <v>9658</v>
      </c>
    </row>
    <row r="58" spans="1:10">
      <c r="A58" t="s">
        <v>9653</v>
      </c>
      <c r="B58" t="s">
        <v>9581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  <c r="I58" t="s">
        <v>9657</v>
      </c>
      <c r="J58" t="s">
        <v>9659</v>
      </c>
    </row>
    <row r="59" spans="1:10">
      <c r="A59" t="s">
        <v>9654</v>
      </c>
      <c r="B59" t="s">
        <v>9582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  <c r="I59" t="s">
        <v>9589</v>
      </c>
      <c r="J59" t="s">
        <v>9660</v>
      </c>
    </row>
    <row r="60" spans="1:10">
      <c r="A60" t="s">
        <v>9655</v>
      </c>
      <c r="B60" t="s">
        <v>9583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  <c r="I60" t="s">
        <v>9591</v>
      </c>
      <c r="J60" t="s">
        <v>9661</v>
      </c>
    </row>
    <row r="61" spans="1:10">
      <c r="A61" t="s">
        <v>9656</v>
      </c>
      <c r="B61" t="s">
        <v>9584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  <c r="I61" t="s">
        <v>8967</v>
      </c>
      <c r="J61" t="s">
        <v>9663</v>
      </c>
    </row>
    <row r="62" spans="1:10">
      <c r="A62" t="s">
        <v>9657</v>
      </c>
      <c r="B62" t="s">
        <v>9585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  <c r="I62" t="s">
        <v>9595</v>
      </c>
      <c r="J62" t="s">
        <v>9664</v>
      </c>
    </row>
    <row r="63" spans="1:10">
      <c r="A63" t="s">
        <v>9658</v>
      </c>
      <c r="B63" t="s">
        <v>9586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  <c r="I63" t="s">
        <v>8957</v>
      </c>
      <c r="J63" t="s">
        <v>9665</v>
      </c>
    </row>
    <row r="64" spans="1:10">
      <c r="A64" t="s">
        <v>9659</v>
      </c>
      <c r="B64" t="s">
        <v>9587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  <c r="I64" t="s">
        <v>8957</v>
      </c>
      <c r="J64" t="s">
        <v>9662</v>
      </c>
    </row>
    <row r="65" spans="1:10">
      <c r="A65" t="s">
        <v>9660</v>
      </c>
      <c r="B65" t="s">
        <v>9588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  <c r="I65" t="s">
        <v>8953</v>
      </c>
      <c r="J65" t="s">
        <v>9666</v>
      </c>
    </row>
    <row r="66" spans="1:10">
      <c r="A66" t="s">
        <v>9661</v>
      </c>
      <c r="B66" t="s">
        <v>9590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  <c r="I66" t="s">
        <v>9666</v>
      </c>
      <c r="J66" t="s">
        <v>9667</v>
      </c>
    </row>
    <row r="67" spans="1:10">
      <c r="A67" t="s">
        <v>9663</v>
      </c>
      <c r="B67" t="s">
        <v>9593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  <c r="I67" t="s">
        <v>8953</v>
      </c>
      <c r="J67" t="s">
        <v>9668</v>
      </c>
    </row>
    <row r="68" spans="1:10">
      <c r="A68" t="s">
        <v>9664</v>
      </c>
      <c r="B68" t="s">
        <v>9594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  <c r="I68" t="s">
        <v>8953</v>
      </c>
      <c r="J68" t="s">
        <v>9669</v>
      </c>
    </row>
    <row r="69" spans="1:10">
      <c r="A69" t="s">
        <v>9665</v>
      </c>
      <c r="B69" t="s">
        <v>9596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  <c r="I69" t="s">
        <v>8953</v>
      </c>
      <c r="J69" t="s">
        <v>9670</v>
      </c>
    </row>
    <row r="70" spans="1:10">
      <c r="A70" t="s">
        <v>9662</v>
      </c>
      <c r="B70" t="s">
        <v>9597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  <c r="I70" t="s">
        <v>8953</v>
      </c>
      <c r="J70" t="s">
        <v>9671</v>
      </c>
    </row>
    <row r="71" spans="1:10">
      <c r="A71" t="s">
        <v>9666</v>
      </c>
      <c r="B71" t="s">
        <v>9598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  <c r="I71" t="s">
        <v>9604</v>
      </c>
      <c r="J71" t="s">
        <v>9672</v>
      </c>
    </row>
    <row r="72" spans="1:10">
      <c r="A72" t="s">
        <v>9667</v>
      </c>
      <c r="B72" t="s">
        <v>9599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  <c r="I72" t="s">
        <v>6118</v>
      </c>
      <c r="J72" t="s">
        <v>9676</v>
      </c>
    </row>
    <row r="73" spans="1:10">
      <c r="A73" t="s">
        <v>9668</v>
      </c>
      <c r="B73" t="s">
        <v>9600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  <c r="I73" t="s">
        <v>9676</v>
      </c>
      <c r="J73" t="s">
        <v>9677</v>
      </c>
    </row>
    <row r="74" spans="1:10">
      <c r="A74" t="s">
        <v>9669</v>
      </c>
      <c r="B74" t="s">
        <v>9601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  <c r="I74" t="s">
        <v>9676</v>
      </c>
      <c r="J74" t="s">
        <v>9678</v>
      </c>
    </row>
    <row r="75" spans="1:10">
      <c r="A75" t="s">
        <v>9670</v>
      </c>
      <c r="B75" t="s">
        <v>9602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  <c r="I75" t="s">
        <v>9677</v>
      </c>
      <c r="J75" t="s">
        <v>9679</v>
      </c>
    </row>
    <row r="76" spans="1:10">
      <c r="A76" t="s">
        <v>9671</v>
      </c>
      <c r="B76" t="s">
        <v>9673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  <c r="I76" t="s">
        <v>9677</v>
      </c>
      <c r="J76" t="s">
        <v>9680</v>
      </c>
    </row>
    <row r="77" spans="1:10">
      <c r="A77" t="s">
        <v>9672</v>
      </c>
      <c r="B77" t="s">
        <v>9603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  <c r="I77" t="s">
        <v>9677</v>
      </c>
      <c r="J77" t="s">
        <v>9681</v>
      </c>
    </row>
    <row r="78" spans="1:10">
      <c r="A78" t="s">
        <v>9676</v>
      </c>
      <c r="B78" t="s">
        <v>9609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  <c r="I78" t="s">
        <v>9715</v>
      </c>
      <c r="J78" t="s">
        <v>9682</v>
      </c>
    </row>
    <row r="79" spans="1:10">
      <c r="A79" t="s">
        <v>9677</v>
      </c>
      <c r="B79" t="s">
        <v>9610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  <c r="I79" t="s">
        <v>9682</v>
      </c>
      <c r="J79" t="s">
        <v>9683</v>
      </c>
    </row>
    <row r="80" spans="1:10">
      <c r="A80" t="s">
        <v>9678</v>
      </c>
      <c r="B80" t="s">
        <v>9611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  <c r="I80" t="s">
        <v>9683</v>
      </c>
      <c r="J80" t="s">
        <v>9684</v>
      </c>
    </row>
    <row r="81" spans="1:10">
      <c r="A81" t="s">
        <v>9679</v>
      </c>
      <c r="B81" t="s">
        <v>9612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  <c r="I81" t="s">
        <v>9683</v>
      </c>
      <c r="J81" t="s">
        <v>9685</v>
      </c>
    </row>
    <row r="82" spans="1:10">
      <c r="A82" t="s">
        <v>9680</v>
      </c>
      <c r="B82" t="s">
        <v>9613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  <c r="I82" t="s">
        <v>9682</v>
      </c>
      <c r="J82" t="s">
        <v>9686</v>
      </c>
    </row>
    <row r="83" spans="1:10">
      <c r="A83" t="s">
        <v>9681</v>
      </c>
      <c r="B83" t="s">
        <v>9614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  <c r="I83" t="s">
        <v>9716</v>
      </c>
      <c r="J83" t="s">
        <v>9687</v>
      </c>
    </row>
    <row r="84" spans="1:10">
      <c r="A84" t="s">
        <v>9615</v>
      </c>
      <c r="B84" t="s">
        <v>9616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  <c r="I84" t="s">
        <v>9687</v>
      </c>
      <c r="J84" t="s">
        <v>9688</v>
      </c>
    </row>
    <row r="85" spans="1:10">
      <c r="A85" t="s">
        <v>8952</v>
      </c>
      <c r="B85" t="s">
        <v>9617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  <c r="I85" t="s">
        <v>9688</v>
      </c>
      <c r="J85" t="s">
        <v>9689</v>
      </c>
    </row>
    <row r="86" spans="1:10">
      <c r="A86" t="s">
        <v>9604</v>
      </c>
      <c r="B86" t="s">
        <v>9618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  <c r="I86" t="s">
        <v>9688</v>
      </c>
      <c r="J86" t="s">
        <v>9690</v>
      </c>
    </row>
    <row r="87" spans="1:10">
      <c r="A87" t="s">
        <v>9619</v>
      </c>
      <c r="B87" t="s">
        <v>9620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  <c r="I87" t="s">
        <v>9687</v>
      </c>
      <c r="J87" t="s">
        <v>9691</v>
      </c>
    </row>
    <row r="88" spans="1:10">
      <c r="A88" t="s">
        <v>9682</v>
      </c>
      <c r="B88" t="s">
        <v>9622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  <c r="I88" t="s">
        <v>9717</v>
      </c>
      <c r="J88" t="s">
        <v>9692</v>
      </c>
    </row>
    <row r="89" spans="1:10">
      <c r="A89" t="s">
        <v>9683</v>
      </c>
      <c r="B89" t="s">
        <v>9623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  <c r="I89" t="s">
        <v>9692</v>
      </c>
      <c r="J89" t="s">
        <v>9693</v>
      </c>
    </row>
    <row r="90" spans="1:10">
      <c r="A90" t="s">
        <v>9684</v>
      </c>
      <c r="B90" t="s">
        <v>9624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  <c r="I90" t="s">
        <v>9693</v>
      </c>
      <c r="J90" t="s">
        <v>9694</v>
      </c>
    </row>
    <row r="91" spans="1:10">
      <c r="A91" t="s">
        <v>9685</v>
      </c>
      <c r="B91" t="s">
        <v>9625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  <c r="I91" t="s">
        <v>9693</v>
      </c>
      <c r="J91" t="s">
        <v>9695</v>
      </c>
    </row>
    <row r="92" spans="1:10">
      <c r="A92" t="s">
        <v>9686</v>
      </c>
      <c r="B92" t="s">
        <v>9626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  <c r="I92" t="s">
        <v>9693</v>
      </c>
      <c r="J92" t="s">
        <v>9696</v>
      </c>
    </row>
    <row r="93" spans="1:10">
      <c r="A93" t="s">
        <v>9687</v>
      </c>
      <c r="B93" t="s">
        <v>9627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  <c r="I93" t="s">
        <v>9692</v>
      </c>
      <c r="J93" t="s">
        <v>9697</v>
      </c>
    </row>
    <row r="94" spans="1:10">
      <c r="A94" t="s">
        <v>9688</v>
      </c>
      <c r="B94" t="s">
        <v>9628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  <c r="I94" t="s">
        <v>9697</v>
      </c>
      <c r="J94" t="s">
        <v>9698</v>
      </c>
    </row>
    <row r="95" spans="1:10">
      <c r="A95" t="s">
        <v>9689</v>
      </c>
      <c r="B95" t="s">
        <v>9629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  <c r="I95" t="s">
        <v>9697</v>
      </c>
      <c r="J95" t="s">
        <v>9699</v>
      </c>
    </row>
    <row r="96" spans="1:10">
      <c r="A96" t="s">
        <v>9690</v>
      </c>
      <c r="B96" t="s">
        <v>9630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  <c r="I96" t="s">
        <v>9697</v>
      </c>
      <c r="J96" t="s">
        <v>9700</v>
      </c>
    </row>
    <row r="97" spans="1:10">
      <c r="A97" t="s">
        <v>9691</v>
      </c>
      <c r="B97" t="s">
        <v>9631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  <c r="I97" t="s">
        <v>9697</v>
      </c>
      <c r="J97" t="s">
        <v>9701</v>
      </c>
    </row>
    <row r="98" spans="1:10">
      <c r="A98" t="s">
        <v>9692</v>
      </c>
      <c r="B98" t="s">
        <v>9633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  <c r="I98" t="s">
        <v>9697</v>
      </c>
      <c r="J98" t="s">
        <v>9702</v>
      </c>
    </row>
    <row r="99" spans="1:10">
      <c r="A99" t="s">
        <v>9693</v>
      </c>
      <c r="B99" t="s">
        <v>9634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  <c r="I99" t="s">
        <v>9697</v>
      </c>
      <c r="J99" t="s">
        <v>9703</v>
      </c>
    </row>
    <row r="100" spans="1:10">
      <c r="A100" t="s">
        <v>9694</v>
      </c>
      <c r="B100" t="s">
        <v>9635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  <c r="I100" t="s">
        <v>9697</v>
      </c>
      <c r="J100" t="s">
        <v>9704</v>
      </c>
    </row>
    <row r="101" spans="1:10">
      <c r="A101" t="s">
        <v>9695</v>
      </c>
      <c r="B101" t="s">
        <v>9636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  <c r="I101" t="s">
        <v>9718</v>
      </c>
      <c r="J101" t="s">
        <v>9705</v>
      </c>
    </row>
    <row r="102" spans="1:10">
      <c r="A102" t="s">
        <v>9696</v>
      </c>
      <c r="B102" t="s">
        <v>9637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  <c r="I102" t="s">
        <v>9705</v>
      </c>
      <c r="J102" t="s">
        <v>9706</v>
      </c>
    </row>
    <row r="103" spans="1:10">
      <c r="A103" t="s">
        <v>9697</v>
      </c>
      <c r="B103" t="s">
        <v>9638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  <c r="I103" t="s">
        <v>9706</v>
      </c>
      <c r="J103" t="s">
        <v>9707</v>
      </c>
    </row>
    <row r="104" spans="1:10">
      <c r="A104" t="s">
        <v>9698</v>
      </c>
      <c r="B104" t="s">
        <v>9639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  <c r="I104" t="s">
        <v>9705</v>
      </c>
      <c r="J104" t="s">
        <v>9708</v>
      </c>
    </row>
    <row r="105" spans="1:10">
      <c r="A105" t="s">
        <v>9699</v>
      </c>
      <c r="B105" t="s">
        <v>9640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  <c r="I105" t="s">
        <v>9708</v>
      </c>
      <c r="J105" t="s">
        <v>9709</v>
      </c>
    </row>
    <row r="106" spans="1:10">
      <c r="A106" t="s">
        <v>9700</v>
      </c>
      <c r="B106" t="s">
        <v>9641</v>
      </c>
      <c r="C106" t="s">
        <v>4938</v>
      </c>
      <c r="D106" t="s">
        <v>4938</v>
      </c>
      <c r="E106" t="s">
        <v>4938</v>
      </c>
      <c r="F106" t="s">
        <v>4938</v>
      </c>
      <c r="G106" t="s">
        <v>4938</v>
      </c>
      <c r="I106" t="s">
        <v>9708</v>
      </c>
      <c r="J106" t="s">
        <v>9710</v>
      </c>
    </row>
    <row r="107" spans="1:10">
      <c r="A107" t="s">
        <v>9701</v>
      </c>
      <c r="B107" t="s">
        <v>9642</v>
      </c>
      <c r="C107" t="s">
        <v>4938</v>
      </c>
      <c r="D107" t="s">
        <v>4938</v>
      </c>
      <c r="E107" t="s">
        <v>4938</v>
      </c>
      <c r="F107" t="s">
        <v>4938</v>
      </c>
      <c r="G107" t="s">
        <v>4938</v>
      </c>
      <c r="I107" t="s">
        <v>9708</v>
      </c>
      <c r="J107" t="s">
        <v>9711</v>
      </c>
    </row>
    <row r="108" spans="1:10">
      <c r="A108" t="s">
        <v>9702</v>
      </c>
      <c r="B108" t="s">
        <v>9643</v>
      </c>
      <c r="C108" t="s">
        <v>4938</v>
      </c>
      <c r="D108" t="s">
        <v>4938</v>
      </c>
      <c r="E108" t="s">
        <v>4938</v>
      </c>
      <c r="F108" t="s">
        <v>4938</v>
      </c>
      <c r="G108" t="s">
        <v>4938</v>
      </c>
      <c r="I108" t="s">
        <v>9708</v>
      </c>
      <c r="J108" t="s">
        <v>9712</v>
      </c>
    </row>
    <row r="109" spans="1:10">
      <c r="A109" t="s">
        <v>9703</v>
      </c>
      <c r="B109" t="s">
        <v>9644</v>
      </c>
      <c r="C109" t="s">
        <v>4938</v>
      </c>
      <c r="D109" t="s">
        <v>4938</v>
      </c>
      <c r="E109" t="s">
        <v>4938</v>
      </c>
      <c r="F109" t="s">
        <v>4938</v>
      </c>
      <c r="G109" t="s">
        <v>4938</v>
      </c>
      <c r="I109" t="s">
        <v>9708</v>
      </c>
      <c r="J109" t="s">
        <v>9713</v>
      </c>
    </row>
    <row r="110" spans="1:10">
      <c r="A110" t="s">
        <v>9704</v>
      </c>
      <c r="B110" t="s">
        <v>9645</v>
      </c>
      <c r="C110" t="s">
        <v>4938</v>
      </c>
      <c r="D110" t="s">
        <v>4938</v>
      </c>
      <c r="E110" t="s">
        <v>4938</v>
      </c>
      <c r="F110" t="s">
        <v>4938</v>
      </c>
      <c r="G110" t="s">
        <v>4938</v>
      </c>
      <c r="I110" t="s">
        <v>9708</v>
      </c>
      <c r="J110" t="s">
        <v>9714</v>
      </c>
    </row>
    <row r="111" spans="1:10">
      <c r="A111" t="s">
        <v>9705</v>
      </c>
      <c r="B111" t="s">
        <v>9633</v>
      </c>
      <c r="C111" t="s">
        <v>4938</v>
      </c>
      <c r="D111" t="s">
        <v>4938</v>
      </c>
      <c r="E111" t="s">
        <v>4938</v>
      </c>
      <c r="F111" t="s">
        <v>4938</v>
      </c>
      <c r="G111" t="s">
        <v>4938</v>
      </c>
    </row>
    <row r="112" spans="1:10">
      <c r="A112" t="s">
        <v>9706</v>
      </c>
      <c r="B112" t="s">
        <v>9634</v>
      </c>
      <c r="C112" t="s">
        <v>4938</v>
      </c>
      <c r="D112" t="s">
        <v>4938</v>
      </c>
      <c r="E112" t="s">
        <v>4938</v>
      </c>
      <c r="F112" t="s">
        <v>4938</v>
      </c>
      <c r="G112" t="s">
        <v>4938</v>
      </c>
    </row>
    <row r="113" spans="1:7">
      <c r="A113" t="s">
        <v>9707</v>
      </c>
      <c r="B113" t="s">
        <v>9646</v>
      </c>
      <c r="C113" t="s">
        <v>4938</v>
      </c>
      <c r="D113" t="s">
        <v>4938</v>
      </c>
      <c r="E113" t="s">
        <v>4938</v>
      </c>
      <c r="F113" t="s">
        <v>4938</v>
      </c>
      <c r="G113" t="s">
        <v>4938</v>
      </c>
    </row>
    <row r="114" spans="1:7">
      <c r="A114" t="s">
        <v>9708</v>
      </c>
      <c r="B114" t="s">
        <v>9638</v>
      </c>
      <c r="C114" t="s">
        <v>4938</v>
      </c>
      <c r="D114" t="s">
        <v>4938</v>
      </c>
      <c r="E114" t="s">
        <v>4938</v>
      </c>
      <c r="F114" t="s">
        <v>4938</v>
      </c>
      <c r="G114" t="s">
        <v>4938</v>
      </c>
    </row>
    <row r="115" spans="1:7">
      <c r="A115" t="s">
        <v>9709</v>
      </c>
      <c r="B115" t="s">
        <v>9647</v>
      </c>
      <c r="C115" t="s">
        <v>4938</v>
      </c>
      <c r="D115" t="s">
        <v>4938</v>
      </c>
      <c r="E115" t="s">
        <v>4938</v>
      </c>
      <c r="F115" t="s">
        <v>4938</v>
      </c>
      <c r="G115" t="s">
        <v>4938</v>
      </c>
    </row>
    <row r="116" spans="1:7">
      <c r="A116" t="s">
        <v>9710</v>
      </c>
      <c r="B116" t="s">
        <v>9648</v>
      </c>
      <c r="C116" t="s">
        <v>4938</v>
      </c>
      <c r="D116" t="s">
        <v>4938</v>
      </c>
      <c r="E116" t="s">
        <v>4938</v>
      </c>
      <c r="F116" t="s">
        <v>4938</v>
      </c>
      <c r="G116" t="s">
        <v>4938</v>
      </c>
    </row>
    <row r="117" spans="1:7">
      <c r="A117" t="s">
        <v>9711</v>
      </c>
      <c r="B117" t="s">
        <v>9649</v>
      </c>
      <c r="C117" t="s">
        <v>4938</v>
      </c>
      <c r="D117" t="s">
        <v>4938</v>
      </c>
      <c r="E117" t="s">
        <v>4938</v>
      </c>
      <c r="F117" t="s">
        <v>4938</v>
      </c>
      <c r="G117" t="s">
        <v>4938</v>
      </c>
    </row>
    <row r="118" spans="1:7">
      <c r="A118" t="s">
        <v>9712</v>
      </c>
      <c r="B118" t="s">
        <v>9650</v>
      </c>
      <c r="C118" t="s">
        <v>4938</v>
      </c>
      <c r="D118" t="s">
        <v>4938</v>
      </c>
      <c r="E118" t="s">
        <v>4938</v>
      </c>
      <c r="F118" t="s">
        <v>4938</v>
      </c>
      <c r="G118" t="s">
        <v>4938</v>
      </c>
    </row>
    <row r="119" spans="1:7">
      <c r="A119" t="s">
        <v>9713</v>
      </c>
      <c r="B119" t="s">
        <v>9651</v>
      </c>
      <c r="C119" t="s">
        <v>4938</v>
      </c>
      <c r="D119" t="s">
        <v>4938</v>
      </c>
      <c r="E119" t="s">
        <v>4938</v>
      </c>
      <c r="F119" t="s">
        <v>4938</v>
      </c>
      <c r="G119" t="s">
        <v>4938</v>
      </c>
    </row>
    <row r="120" spans="1:7">
      <c r="A120" t="s">
        <v>9714</v>
      </c>
      <c r="B120" t="s">
        <v>9652</v>
      </c>
      <c r="C120" t="s">
        <v>4938</v>
      </c>
      <c r="D120" t="s">
        <v>4938</v>
      </c>
      <c r="E120" t="s">
        <v>4938</v>
      </c>
      <c r="F120" t="s">
        <v>4938</v>
      </c>
      <c r="G120" t="s">
        <v>4938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9873-7913-4EA5-972A-4BB84BC72A51}">
  <dimension ref="A1:B336"/>
  <sheetViews>
    <sheetView workbookViewId="0"/>
  </sheetViews>
  <sheetFormatPr defaultRowHeight="15"/>
  <cols>
    <col min="1" max="1" width="48.5703125" bestFit="1" customWidth="1"/>
    <col min="2" max="2" width="37.42578125" bestFit="1" customWidth="1"/>
  </cols>
  <sheetData>
    <row r="1" spans="1:2">
      <c r="A1" t="s">
        <v>4928</v>
      </c>
      <c r="B1" t="s">
        <v>9016</v>
      </c>
    </row>
    <row r="2" spans="1:2">
      <c r="A2" t="s">
        <v>4929</v>
      </c>
      <c r="B2" t="s">
        <v>9017</v>
      </c>
    </row>
    <row r="3" spans="1:2">
      <c r="A3" t="s">
        <v>4930</v>
      </c>
      <c r="B3" t="s">
        <v>9018</v>
      </c>
    </row>
    <row r="4" spans="1:2">
      <c r="A4" t="s">
        <v>4931</v>
      </c>
      <c r="B4" t="s">
        <v>9019</v>
      </c>
    </row>
    <row r="5" spans="1:2">
      <c r="A5" t="s">
        <v>4932</v>
      </c>
      <c r="B5" t="s">
        <v>9020</v>
      </c>
    </row>
    <row r="6" spans="1:2">
      <c r="A6" t="s">
        <v>9035</v>
      </c>
      <c r="B6" t="s">
        <v>9023</v>
      </c>
    </row>
    <row r="7" spans="1:2">
      <c r="A7" t="s">
        <v>9036</v>
      </c>
      <c r="B7" t="s">
        <v>9024</v>
      </c>
    </row>
    <row r="8" spans="1:2">
      <c r="A8" t="s">
        <v>9037</v>
      </c>
      <c r="B8" t="s">
        <v>9025</v>
      </c>
    </row>
    <row r="9" spans="1:2">
      <c r="A9" t="s">
        <v>9027</v>
      </c>
      <c r="B9" t="s">
        <v>9030</v>
      </c>
    </row>
    <row r="10" spans="1:2">
      <c r="A10" t="s">
        <v>9028</v>
      </c>
      <c r="B10" t="s">
        <v>9031</v>
      </c>
    </row>
    <row r="11" spans="1:2">
      <c r="A11" t="s">
        <v>9029</v>
      </c>
      <c r="B11" t="s">
        <v>9032</v>
      </c>
    </row>
    <row r="12" spans="1:2">
      <c r="A12" t="s">
        <v>9040</v>
      </c>
      <c r="B12" t="s">
        <v>9039</v>
      </c>
    </row>
    <row r="13" spans="1:2">
      <c r="A13" t="s">
        <v>2010</v>
      </c>
      <c r="B13" t="s">
        <v>9041</v>
      </c>
    </row>
    <row r="14" spans="1:2">
      <c r="A14" t="s">
        <v>9042</v>
      </c>
      <c r="B14" t="s">
        <v>9047</v>
      </c>
    </row>
    <row r="15" spans="1:2">
      <c r="A15" t="s">
        <v>9043</v>
      </c>
      <c r="B15" t="s">
        <v>9048</v>
      </c>
    </row>
    <row r="16" spans="1:2">
      <c r="A16" t="s">
        <v>9044</v>
      </c>
      <c r="B16" t="s">
        <v>9049</v>
      </c>
    </row>
    <row r="17" spans="1:2">
      <c r="A17" t="s">
        <v>9045</v>
      </c>
      <c r="B17" t="s">
        <v>9050</v>
      </c>
    </row>
    <row r="18" spans="1:2">
      <c r="A18" t="s">
        <v>9046</v>
      </c>
      <c r="B18" t="s">
        <v>9051</v>
      </c>
    </row>
    <row r="19" spans="1:2">
      <c r="A19" t="s">
        <v>6100</v>
      </c>
      <c r="B19" t="s">
        <v>9061</v>
      </c>
    </row>
    <row r="20" spans="1:2">
      <c r="A20" t="s">
        <v>9071</v>
      </c>
      <c r="B20" t="s">
        <v>9062</v>
      </c>
    </row>
    <row r="21" spans="1:2">
      <c r="A21" t="s">
        <v>9063</v>
      </c>
      <c r="B21" t="s">
        <v>9064</v>
      </c>
    </row>
    <row r="22" spans="1:2">
      <c r="A22" t="s">
        <v>9065</v>
      </c>
      <c r="B22" t="s">
        <v>9067</v>
      </c>
    </row>
    <row r="23" spans="1:2">
      <c r="A23" t="s">
        <v>7583</v>
      </c>
      <c r="B23" t="s">
        <v>9068</v>
      </c>
    </row>
    <row r="24" spans="1:2">
      <c r="A24" t="s">
        <v>9066</v>
      </c>
      <c r="B24" t="s">
        <v>9069</v>
      </c>
    </row>
    <row r="25" spans="1:2">
      <c r="A25" t="s">
        <v>1713</v>
      </c>
      <c r="B25" t="s">
        <v>9070</v>
      </c>
    </row>
    <row r="26" spans="1:2">
      <c r="A26" t="s">
        <v>8142</v>
      </c>
      <c r="B26" t="s">
        <v>9084</v>
      </c>
    </row>
    <row r="27" spans="1:2">
      <c r="A27" t="s">
        <v>6692</v>
      </c>
      <c r="B27" t="s">
        <v>9085</v>
      </c>
    </row>
    <row r="28" spans="1:2">
      <c r="A28" t="s">
        <v>6693</v>
      </c>
      <c r="B28" t="s">
        <v>9086</v>
      </c>
    </row>
    <row r="29" spans="1:2">
      <c r="A29" t="s">
        <v>6685</v>
      </c>
      <c r="B29" t="s">
        <v>9087</v>
      </c>
    </row>
    <row r="30" spans="1:2">
      <c r="A30" t="s">
        <v>6694</v>
      </c>
      <c r="B30" t="s">
        <v>9088</v>
      </c>
    </row>
    <row r="31" spans="1:2">
      <c r="A31" t="s">
        <v>6695</v>
      </c>
      <c r="B31" t="s">
        <v>9089</v>
      </c>
    </row>
    <row r="32" spans="1:2">
      <c r="A32" t="s">
        <v>7161</v>
      </c>
      <c r="B32" t="s">
        <v>9090</v>
      </c>
    </row>
    <row r="33" spans="1:2">
      <c r="A33" t="s">
        <v>7162</v>
      </c>
      <c r="B33" t="s">
        <v>9091</v>
      </c>
    </row>
    <row r="34" spans="1:2">
      <c r="A34" t="s">
        <v>7163</v>
      </c>
      <c r="B34" t="s">
        <v>9092</v>
      </c>
    </row>
    <row r="35" spans="1:2">
      <c r="A35" t="s">
        <v>7164</v>
      </c>
      <c r="B35" t="s">
        <v>9093</v>
      </c>
    </row>
    <row r="36" spans="1:2">
      <c r="A36" t="s">
        <v>7165</v>
      </c>
      <c r="B36" t="s">
        <v>9094</v>
      </c>
    </row>
    <row r="37" spans="1:2">
      <c r="A37" t="s">
        <v>7181</v>
      </c>
      <c r="B37" t="s">
        <v>9095</v>
      </c>
    </row>
    <row r="38" spans="1:2">
      <c r="A38" t="s">
        <v>7182</v>
      </c>
      <c r="B38" t="s">
        <v>9096</v>
      </c>
    </row>
    <row r="39" spans="1:2">
      <c r="A39" t="s">
        <v>7183</v>
      </c>
      <c r="B39" t="s">
        <v>9097</v>
      </c>
    </row>
    <row r="40" spans="1:2">
      <c r="A40" t="s">
        <v>7184</v>
      </c>
      <c r="B40" t="s">
        <v>9098</v>
      </c>
    </row>
    <row r="41" spans="1:2">
      <c r="A41" t="s">
        <v>7185</v>
      </c>
      <c r="B41" t="s">
        <v>9099</v>
      </c>
    </row>
    <row r="42" spans="1:2">
      <c r="A42" t="s">
        <v>7201</v>
      </c>
      <c r="B42" t="s">
        <v>9100</v>
      </c>
    </row>
    <row r="43" spans="1:2">
      <c r="A43" t="s">
        <v>7202</v>
      </c>
      <c r="B43" t="s">
        <v>9101</v>
      </c>
    </row>
    <row r="44" spans="1:2">
      <c r="A44" t="s">
        <v>7203</v>
      </c>
      <c r="B44" t="s">
        <v>9102</v>
      </c>
    </row>
    <row r="45" spans="1:2">
      <c r="A45" t="s">
        <v>7204</v>
      </c>
      <c r="B45" t="s">
        <v>9103</v>
      </c>
    </row>
    <row r="46" spans="1:2">
      <c r="A46" t="s">
        <v>7205</v>
      </c>
      <c r="B46" t="s">
        <v>9104</v>
      </c>
    </row>
    <row r="47" spans="1:2">
      <c r="A47" t="s">
        <v>7221</v>
      </c>
      <c r="B47" t="s">
        <v>9105</v>
      </c>
    </row>
    <row r="48" spans="1:2">
      <c r="A48" t="s">
        <v>7222</v>
      </c>
      <c r="B48" t="s">
        <v>9106</v>
      </c>
    </row>
    <row r="49" spans="1:2">
      <c r="A49" t="s">
        <v>7223</v>
      </c>
      <c r="B49" t="s">
        <v>9107</v>
      </c>
    </row>
    <row r="50" spans="1:2">
      <c r="A50" t="s">
        <v>7224</v>
      </c>
      <c r="B50" t="s">
        <v>9108</v>
      </c>
    </row>
    <row r="51" spans="1:2">
      <c r="A51" t="s">
        <v>7225</v>
      </c>
      <c r="B51" t="s">
        <v>9109</v>
      </c>
    </row>
    <row r="52" spans="1:2">
      <c r="A52" t="s">
        <v>7241</v>
      </c>
      <c r="B52" t="s">
        <v>9110</v>
      </c>
    </row>
    <row r="53" spans="1:2">
      <c r="A53" t="s">
        <v>7242</v>
      </c>
      <c r="B53" t="s">
        <v>9111</v>
      </c>
    </row>
    <row r="54" spans="1:2">
      <c r="A54" t="s">
        <v>7243</v>
      </c>
      <c r="B54" t="s">
        <v>9112</v>
      </c>
    </row>
    <row r="55" spans="1:2">
      <c r="A55" t="s">
        <v>7244</v>
      </c>
      <c r="B55" t="s">
        <v>9113</v>
      </c>
    </row>
    <row r="56" spans="1:2">
      <c r="A56" t="s">
        <v>7245</v>
      </c>
      <c r="B56" t="s">
        <v>9113</v>
      </c>
    </row>
    <row r="57" spans="1:2">
      <c r="A57" t="s">
        <v>7261</v>
      </c>
      <c r="B57" t="s">
        <v>9114</v>
      </c>
    </row>
    <row r="58" spans="1:2">
      <c r="A58" t="s">
        <v>7262</v>
      </c>
      <c r="B58" t="s">
        <v>9115</v>
      </c>
    </row>
    <row r="59" spans="1:2">
      <c r="A59" t="s">
        <v>7263</v>
      </c>
      <c r="B59" t="s">
        <v>9116</v>
      </c>
    </row>
    <row r="60" spans="1:2">
      <c r="A60" t="s">
        <v>7264</v>
      </c>
      <c r="B60" t="s">
        <v>9117</v>
      </c>
    </row>
    <row r="61" spans="1:2">
      <c r="A61" t="s">
        <v>7265</v>
      </c>
      <c r="B61" t="s">
        <v>9117</v>
      </c>
    </row>
    <row r="62" spans="1:2">
      <c r="A62" t="s">
        <v>7281</v>
      </c>
      <c r="B62" t="s">
        <v>9118</v>
      </c>
    </row>
    <row r="63" spans="1:2">
      <c r="A63" t="s">
        <v>7282</v>
      </c>
      <c r="B63" t="s">
        <v>9119</v>
      </c>
    </row>
    <row r="64" spans="1:2">
      <c r="A64" t="s">
        <v>7283</v>
      </c>
      <c r="B64" t="s">
        <v>9120</v>
      </c>
    </row>
    <row r="65" spans="1:2">
      <c r="A65" t="s">
        <v>7284</v>
      </c>
      <c r="B65" t="s">
        <v>9121</v>
      </c>
    </row>
    <row r="66" spans="1:2">
      <c r="A66" t="s">
        <v>7285</v>
      </c>
      <c r="B66" t="s">
        <v>9122</v>
      </c>
    </row>
    <row r="67" spans="1:2">
      <c r="A67" t="s">
        <v>7301</v>
      </c>
      <c r="B67" t="s">
        <v>9123</v>
      </c>
    </row>
    <row r="68" spans="1:2">
      <c r="A68" t="s">
        <v>7302</v>
      </c>
      <c r="B68" t="s">
        <v>9124</v>
      </c>
    </row>
    <row r="69" spans="1:2">
      <c r="A69" t="s">
        <v>7303</v>
      </c>
      <c r="B69" t="s">
        <v>9125</v>
      </c>
    </row>
    <row r="70" spans="1:2">
      <c r="A70" t="s">
        <v>7304</v>
      </c>
      <c r="B70" t="s">
        <v>9126</v>
      </c>
    </row>
    <row r="71" spans="1:2">
      <c r="A71" t="s">
        <v>7305</v>
      </c>
      <c r="B71" t="s">
        <v>9127</v>
      </c>
    </row>
    <row r="72" spans="1:2">
      <c r="A72" t="s">
        <v>7321</v>
      </c>
      <c r="B72" t="s">
        <v>9128</v>
      </c>
    </row>
    <row r="73" spans="1:2">
      <c r="A73" t="s">
        <v>7322</v>
      </c>
      <c r="B73" t="s">
        <v>9129</v>
      </c>
    </row>
    <row r="74" spans="1:2">
      <c r="A74" t="s">
        <v>7323</v>
      </c>
      <c r="B74" t="s">
        <v>9130</v>
      </c>
    </row>
    <row r="75" spans="1:2">
      <c r="A75" t="s">
        <v>7324</v>
      </c>
      <c r="B75" t="s">
        <v>9130</v>
      </c>
    </row>
    <row r="76" spans="1:2">
      <c r="A76" t="s">
        <v>7325</v>
      </c>
      <c r="B76" t="s">
        <v>9131</v>
      </c>
    </row>
    <row r="77" spans="1:2">
      <c r="A77" t="s">
        <v>7341</v>
      </c>
      <c r="B77" t="s">
        <v>9132</v>
      </c>
    </row>
    <row r="78" spans="1:2">
      <c r="A78" t="s">
        <v>7342</v>
      </c>
      <c r="B78" t="s">
        <v>9133</v>
      </c>
    </row>
    <row r="79" spans="1:2">
      <c r="A79" t="s">
        <v>7343</v>
      </c>
      <c r="B79" t="s">
        <v>9134</v>
      </c>
    </row>
    <row r="80" spans="1:2">
      <c r="A80" t="s">
        <v>7344</v>
      </c>
      <c r="B80" t="s">
        <v>9134</v>
      </c>
    </row>
    <row r="81" spans="1:2">
      <c r="A81" t="s">
        <v>7345</v>
      </c>
      <c r="B81" t="s">
        <v>9135</v>
      </c>
    </row>
    <row r="82" spans="1:2">
      <c r="A82" t="s">
        <v>7361</v>
      </c>
      <c r="B82" t="s">
        <v>9136</v>
      </c>
    </row>
    <row r="83" spans="1:2">
      <c r="A83" t="s">
        <v>7362</v>
      </c>
      <c r="B83" t="s">
        <v>9137</v>
      </c>
    </row>
    <row r="84" spans="1:2">
      <c r="A84" t="s">
        <v>7363</v>
      </c>
      <c r="B84" t="s">
        <v>9138</v>
      </c>
    </row>
    <row r="85" spans="1:2">
      <c r="A85" t="s">
        <v>7364</v>
      </c>
      <c r="B85" t="s">
        <v>9138</v>
      </c>
    </row>
    <row r="86" spans="1:2">
      <c r="A86" t="s">
        <v>7365</v>
      </c>
      <c r="B86" t="s">
        <v>9139</v>
      </c>
    </row>
    <row r="87" spans="1:2">
      <c r="A87" t="s">
        <v>7381</v>
      </c>
      <c r="B87" t="s">
        <v>9140</v>
      </c>
    </row>
    <row r="88" spans="1:2">
      <c r="A88" t="s">
        <v>7382</v>
      </c>
      <c r="B88" t="s">
        <v>9141</v>
      </c>
    </row>
    <row r="89" spans="1:2">
      <c r="A89" t="s">
        <v>7383</v>
      </c>
      <c r="B89" t="s">
        <v>9142</v>
      </c>
    </row>
    <row r="90" spans="1:2">
      <c r="A90" t="s">
        <v>7384</v>
      </c>
      <c r="B90" t="s">
        <v>9142</v>
      </c>
    </row>
    <row r="91" spans="1:2">
      <c r="A91" t="s">
        <v>7385</v>
      </c>
      <c r="B91" t="s">
        <v>9143</v>
      </c>
    </row>
    <row r="92" spans="1:2">
      <c r="A92" t="s">
        <v>7401</v>
      </c>
      <c r="B92" t="s">
        <v>9144</v>
      </c>
    </row>
    <row r="93" spans="1:2">
      <c r="A93" t="s">
        <v>7402</v>
      </c>
      <c r="B93" t="s">
        <v>9145</v>
      </c>
    </row>
    <row r="94" spans="1:2">
      <c r="A94" t="s">
        <v>7403</v>
      </c>
      <c r="B94" t="s">
        <v>9146</v>
      </c>
    </row>
    <row r="95" spans="1:2">
      <c r="A95" t="s">
        <v>7404</v>
      </c>
      <c r="B95" t="s">
        <v>9146</v>
      </c>
    </row>
    <row r="96" spans="1:2">
      <c r="A96" t="s">
        <v>7405</v>
      </c>
      <c r="B96" t="s">
        <v>9147</v>
      </c>
    </row>
    <row r="97" spans="1:2">
      <c r="A97" t="s">
        <v>7421</v>
      </c>
      <c r="B97" t="s">
        <v>9148</v>
      </c>
    </row>
    <row r="98" spans="1:2">
      <c r="A98" t="s">
        <v>7422</v>
      </c>
      <c r="B98" t="s">
        <v>9149</v>
      </c>
    </row>
    <row r="99" spans="1:2">
      <c r="A99" t="s">
        <v>7423</v>
      </c>
      <c r="B99" t="s">
        <v>9150</v>
      </c>
    </row>
    <row r="100" spans="1:2">
      <c r="A100" t="s">
        <v>7424</v>
      </c>
      <c r="B100" t="s">
        <v>9150</v>
      </c>
    </row>
    <row r="101" spans="1:2">
      <c r="A101" t="s">
        <v>7425</v>
      </c>
      <c r="B101" t="s">
        <v>9151</v>
      </c>
    </row>
    <row r="102" spans="1:2">
      <c r="A102" t="s">
        <v>7441</v>
      </c>
      <c r="B102" t="s">
        <v>9152</v>
      </c>
    </row>
    <row r="103" spans="1:2">
      <c r="A103" t="s">
        <v>7442</v>
      </c>
      <c r="B103" t="s">
        <v>9153</v>
      </c>
    </row>
    <row r="104" spans="1:2">
      <c r="A104" t="s">
        <v>7443</v>
      </c>
      <c r="B104" t="s">
        <v>9154</v>
      </c>
    </row>
    <row r="105" spans="1:2">
      <c r="A105" t="s">
        <v>7444</v>
      </c>
      <c r="B105" t="s">
        <v>9154</v>
      </c>
    </row>
    <row r="106" spans="1:2">
      <c r="A106" t="s">
        <v>7445</v>
      </c>
      <c r="B106" t="s">
        <v>9155</v>
      </c>
    </row>
    <row r="107" spans="1:2">
      <c r="A107" t="s">
        <v>7461</v>
      </c>
      <c r="B107" t="s">
        <v>9156</v>
      </c>
    </row>
    <row r="108" spans="1:2">
      <c r="A108" t="s">
        <v>7462</v>
      </c>
      <c r="B108" t="s">
        <v>9157</v>
      </c>
    </row>
    <row r="109" spans="1:2">
      <c r="A109" t="s">
        <v>7463</v>
      </c>
      <c r="B109" t="s">
        <v>9158</v>
      </c>
    </row>
    <row r="110" spans="1:2">
      <c r="A110" t="s">
        <v>7464</v>
      </c>
      <c r="B110" t="s">
        <v>9158</v>
      </c>
    </row>
    <row r="111" spans="1:2">
      <c r="A111" t="s">
        <v>7465</v>
      </c>
      <c r="B111" t="s">
        <v>9159</v>
      </c>
    </row>
    <row r="112" spans="1:2">
      <c r="A112" t="s">
        <v>7481</v>
      </c>
      <c r="B112" t="s">
        <v>9160</v>
      </c>
    </row>
    <row r="113" spans="1:2">
      <c r="A113" t="s">
        <v>7482</v>
      </c>
      <c r="B113" t="s">
        <v>9161</v>
      </c>
    </row>
    <row r="114" spans="1:2">
      <c r="A114" t="s">
        <v>7483</v>
      </c>
      <c r="B114" t="s">
        <v>9162</v>
      </c>
    </row>
    <row r="115" spans="1:2">
      <c r="A115" t="s">
        <v>7484</v>
      </c>
      <c r="B115" t="s">
        <v>9162</v>
      </c>
    </row>
    <row r="116" spans="1:2">
      <c r="A116" t="s">
        <v>7485</v>
      </c>
      <c r="B116" t="s">
        <v>9163</v>
      </c>
    </row>
    <row r="117" spans="1:2">
      <c r="A117" t="s">
        <v>7501</v>
      </c>
      <c r="B117" t="s">
        <v>9164</v>
      </c>
    </row>
    <row r="118" spans="1:2">
      <c r="A118" t="s">
        <v>7502</v>
      </c>
      <c r="B118" t="s">
        <v>9165</v>
      </c>
    </row>
    <row r="119" spans="1:2">
      <c r="A119" t="s">
        <v>7503</v>
      </c>
      <c r="B119" t="s">
        <v>9166</v>
      </c>
    </row>
    <row r="120" spans="1:2">
      <c r="A120" t="s">
        <v>7504</v>
      </c>
      <c r="B120" t="s">
        <v>9166</v>
      </c>
    </row>
    <row r="121" spans="1:2">
      <c r="A121" t="s">
        <v>7505</v>
      </c>
      <c r="B121" t="s">
        <v>9167</v>
      </c>
    </row>
    <row r="122" spans="1:2">
      <c r="A122" t="s">
        <v>7521</v>
      </c>
      <c r="B122" t="s">
        <v>9168</v>
      </c>
    </row>
    <row r="123" spans="1:2">
      <c r="A123" t="s">
        <v>7522</v>
      </c>
      <c r="B123" t="s">
        <v>9169</v>
      </c>
    </row>
    <row r="124" spans="1:2">
      <c r="A124" t="s">
        <v>7523</v>
      </c>
      <c r="B124" t="s">
        <v>9170</v>
      </c>
    </row>
    <row r="125" spans="1:2">
      <c r="A125" t="s">
        <v>7524</v>
      </c>
      <c r="B125" t="s">
        <v>9170</v>
      </c>
    </row>
    <row r="126" spans="1:2">
      <c r="A126" t="s">
        <v>7525</v>
      </c>
      <c r="B126" t="s">
        <v>9171</v>
      </c>
    </row>
    <row r="127" spans="1:2">
      <c r="A127" t="s">
        <v>7541</v>
      </c>
      <c r="B127" t="s">
        <v>9172</v>
      </c>
    </row>
    <row r="128" spans="1:2">
      <c r="A128" t="s">
        <v>7542</v>
      </c>
      <c r="B128" t="s">
        <v>9173</v>
      </c>
    </row>
    <row r="129" spans="1:2">
      <c r="A129" t="s">
        <v>7543</v>
      </c>
      <c r="B129" t="s">
        <v>9174</v>
      </c>
    </row>
    <row r="130" spans="1:2">
      <c r="A130" t="s">
        <v>7544</v>
      </c>
      <c r="B130" t="s">
        <v>9174</v>
      </c>
    </row>
    <row r="131" spans="1:2">
      <c r="A131" t="s">
        <v>7545</v>
      </c>
      <c r="B131" t="s">
        <v>9175</v>
      </c>
    </row>
    <row r="132" spans="1:2">
      <c r="A132" t="s">
        <v>7561</v>
      </c>
      <c r="B132" t="s">
        <v>9176</v>
      </c>
    </row>
    <row r="133" spans="1:2">
      <c r="A133" t="s">
        <v>7562</v>
      </c>
      <c r="B133" t="s">
        <v>9177</v>
      </c>
    </row>
    <row r="134" spans="1:2">
      <c r="A134" t="s">
        <v>7563</v>
      </c>
      <c r="B134" t="s">
        <v>9178</v>
      </c>
    </row>
    <row r="135" spans="1:2">
      <c r="A135" t="s">
        <v>7564</v>
      </c>
      <c r="B135" t="s">
        <v>9178</v>
      </c>
    </row>
    <row r="136" spans="1:2">
      <c r="A136" t="s">
        <v>7565</v>
      </c>
      <c r="B136" t="s">
        <v>9179</v>
      </c>
    </row>
    <row r="137" spans="1:2">
      <c r="A137" t="s">
        <v>6701</v>
      </c>
      <c r="B137" t="s">
        <v>9180</v>
      </c>
    </row>
    <row r="138" spans="1:2">
      <c r="A138" t="s">
        <v>6688</v>
      </c>
      <c r="B138" t="s">
        <v>9181</v>
      </c>
    </row>
    <row r="139" spans="1:2">
      <c r="A139" t="s">
        <v>6702</v>
      </c>
      <c r="B139" t="s">
        <v>9182</v>
      </c>
    </row>
    <row r="140" spans="1:2">
      <c r="A140" t="s">
        <v>6703</v>
      </c>
      <c r="B140" t="s">
        <v>9183</v>
      </c>
    </row>
    <row r="141" spans="1:2">
      <c r="A141" t="s">
        <v>6689</v>
      </c>
      <c r="B141" t="s">
        <v>9184</v>
      </c>
    </row>
    <row r="142" spans="1:2">
      <c r="A142" t="s">
        <v>6704</v>
      </c>
      <c r="B142" t="s">
        <v>9185</v>
      </c>
    </row>
    <row r="143" spans="1:2">
      <c r="A143" t="s">
        <v>6705</v>
      </c>
      <c r="B143" t="s">
        <v>9186</v>
      </c>
    </row>
    <row r="144" spans="1:2">
      <c r="A144" t="s">
        <v>7173</v>
      </c>
      <c r="B144" t="s">
        <v>9187</v>
      </c>
    </row>
    <row r="145" spans="1:2">
      <c r="A145" t="s">
        <v>7174</v>
      </c>
      <c r="B145" t="s">
        <v>9188</v>
      </c>
    </row>
    <row r="146" spans="1:2">
      <c r="A146" t="s">
        <v>7175</v>
      </c>
      <c r="B146" t="s">
        <v>9189</v>
      </c>
    </row>
    <row r="147" spans="1:2">
      <c r="A147" t="s">
        <v>7176</v>
      </c>
      <c r="B147" t="s">
        <v>9190</v>
      </c>
    </row>
    <row r="148" spans="1:2">
      <c r="A148" t="s">
        <v>7177</v>
      </c>
      <c r="B148" t="s">
        <v>9191</v>
      </c>
    </row>
    <row r="149" spans="1:2">
      <c r="A149" t="s">
        <v>7178</v>
      </c>
      <c r="B149" t="s">
        <v>9192</v>
      </c>
    </row>
    <row r="150" spans="1:2">
      <c r="A150" t="s">
        <v>7179</v>
      </c>
      <c r="B150" t="s">
        <v>9193</v>
      </c>
    </row>
    <row r="151" spans="1:2">
      <c r="A151" t="s">
        <v>7193</v>
      </c>
      <c r="B151" t="s">
        <v>9194</v>
      </c>
    </row>
    <row r="152" spans="1:2">
      <c r="A152" t="s">
        <v>7194</v>
      </c>
      <c r="B152" t="s">
        <v>9195</v>
      </c>
    </row>
    <row r="153" spans="1:2">
      <c r="A153" t="s">
        <v>7195</v>
      </c>
      <c r="B153" t="s">
        <v>9196</v>
      </c>
    </row>
    <row r="154" spans="1:2">
      <c r="A154" t="s">
        <v>7196</v>
      </c>
      <c r="B154" t="s">
        <v>9197</v>
      </c>
    </row>
    <row r="155" spans="1:2">
      <c r="A155" t="s">
        <v>7197</v>
      </c>
      <c r="B155" t="s">
        <v>9198</v>
      </c>
    </row>
    <row r="156" spans="1:2">
      <c r="A156" t="s">
        <v>7198</v>
      </c>
      <c r="B156" t="s">
        <v>9199</v>
      </c>
    </row>
    <row r="157" spans="1:2">
      <c r="A157" t="s">
        <v>7199</v>
      </c>
      <c r="B157" t="s">
        <v>9200</v>
      </c>
    </row>
    <row r="158" spans="1:2">
      <c r="A158" t="s">
        <v>7213</v>
      </c>
      <c r="B158" t="s">
        <v>9201</v>
      </c>
    </row>
    <row r="159" spans="1:2">
      <c r="A159" t="s">
        <v>7214</v>
      </c>
      <c r="B159" t="s">
        <v>9202</v>
      </c>
    </row>
    <row r="160" spans="1:2">
      <c r="A160" t="s">
        <v>7215</v>
      </c>
      <c r="B160" t="s">
        <v>9203</v>
      </c>
    </row>
    <row r="161" spans="1:2">
      <c r="A161" t="s">
        <v>7216</v>
      </c>
      <c r="B161" t="s">
        <v>9204</v>
      </c>
    </row>
    <row r="162" spans="1:2">
      <c r="A162" t="s">
        <v>7217</v>
      </c>
      <c r="B162" t="s">
        <v>9205</v>
      </c>
    </row>
    <row r="163" spans="1:2">
      <c r="A163" t="s">
        <v>7218</v>
      </c>
      <c r="B163" t="s">
        <v>9206</v>
      </c>
    </row>
    <row r="164" spans="1:2">
      <c r="A164" t="s">
        <v>7219</v>
      </c>
      <c r="B164" t="s">
        <v>9207</v>
      </c>
    </row>
    <row r="165" spans="1:2">
      <c r="A165" t="s">
        <v>7233</v>
      </c>
      <c r="B165" t="s">
        <v>9208</v>
      </c>
    </row>
    <row r="166" spans="1:2">
      <c r="A166" t="s">
        <v>7234</v>
      </c>
      <c r="B166" t="s">
        <v>9209</v>
      </c>
    </row>
    <row r="167" spans="1:2">
      <c r="A167" t="s">
        <v>7235</v>
      </c>
      <c r="B167" t="s">
        <v>9210</v>
      </c>
    </row>
    <row r="168" spans="1:2">
      <c r="A168" t="s">
        <v>7236</v>
      </c>
      <c r="B168" t="s">
        <v>9211</v>
      </c>
    </row>
    <row r="169" spans="1:2">
      <c r="A169" t="s">
        <v>7237</v>
      </c>
      <c r="B169" t="s">
        <v>9212</v>
      </c>
    </row>
    <row r="170" spans="1:2">
      <c r="A170" t="s">
        <v>7238</v>
      </c>
      <c r="B170" t="s">
        <v>9213</v>
      </c>
    </row>
    <row r="171" spans="1:2">
      <c r="A171" t="s">
        <v>7239</v>
      </c>
      <c r="B171" t="s">
        <v>9214</v>
      </c>
    </row>
    <row r="172" spans="1:2">
      <c r="A172" t="s">
        <v>7253</v>
      </c>
      <c r="B172" t="s">
        <v>9215</v>
      </c>
    </row>
    <row r="173" spans="1:2">
      <c r="A173" t="s">
        <v>7254</v>
      </c>
      <c r="B173" t="s">
        <v>9216</v>
      </c>
    </row>
    <row r="174" spans="1:2">
      <c r="A174" t="s">
        <v>7255</v>
      </c>
      <c r="B174" t="s">
        <v>9217</v>
      </c>
    </row>
    <row r="175" spans="1:2">
      <c r="A175" t="s">
        <v>7256</v>
      </c>
      <c r="B175" t="s">
        <v>9218</v>
      </c>
    </row>
    <row r="176" spans="1:2">
      <c r="A176" t="s">
        <v>7257</v>
      </c>
      <c r="B176" t="s">
        <v>9219</v>
      </c>
    </row>
    <row r="177" spans="1:2">
      <c r="A177" t="s">
        <v>7258</v>
      </c>
      <c r="B177" t="s">
        <v>9220</v>
      </c>
    </row>
    <row r="178" spans="1:2">
      <c r="A178" t="s">
        <v>7259</v>
      </c>
      <c r="B178" t="s">
        <v>9221</v>
      </c>
    </row>
    <row r="179" spans="1:2">
      <c r="A179" t="s">
        <v>7273</v>
      </c>
      <c r="B179" t="s">
        <v>9222</v>
      </c>
    </row>
    <row r="180" spans="1:2">
      <c r="A180" t="s">
        <v>7274</v>
      </c>
      <c r="B180" t="s">
        <v>9223</v>
      </c>
    </row>
    <row r="181" spans="1:2">
      <c r="A181" t="s">
        <v>7275</v>
      </c>
      <c r="B181" t="s">
        <v>9224</v>
      </c>
    </row>
    <row r="182" spans="1:2">
      <c r="A182" t="s">
        <v>7276</v>
      </c>
      <c r="B182" t="s">
        <v>9225</v>
      </c>
    </row>
    <row r="183" spans="1:2">
      <c r="A183" t="s">
        <v>7277</v>
      </c>
      <c r="B183" t="s">
        <v>9226</v>
      </c>
    </row>
    <row r="184" spans="1:2">
      <c r="A184" t="s">
        <v>7278</v>
      </c>
      <c r="B184" t="s">
        <v>9227</v>
      </c>
    </row>
    <row r="185" spans="1:2">
      <c r="A185" t="s">
        <v>7279</v>
      </c>
      <c r="B185" t="s">
        <v>9228</v>
      </c>
    </row>
    <row r="186" spans="1:2">
      <c r="A186" t="s">
        <v>7293</v>
      </c>
      <c r="B186" t="s">
        <v>9229</v>
      </c>
    </row>
    <row r="187" spans="1:2">
      <c r="A187" t="s">
        <v>7294</v>
      </c>
      <c r="B187" t="s">
        <v>9230</v>
      </c>
    </row>
    <row r="188" spans="1:2">
      <c r="A188" t="s">
        <v>7295</v>
      </c>
      <c r="B188" t="s">
        <v>9231</v>
      </c>
    </row>
    <row r="189" spans="1:2">
      <c r="A189" t="s">
        <v>7296</v>
      </c>
      <c r="B189" t="s">
        <v>9232</v>
      </c>
    </row>
    <row r="190" spans="1:2">
      <c r="A190" t="s">
        <v>7297</v>
      </c>
      <c r="B190" t="s">
        <v>9233</v>
      </c>
    </row>
    <row r="191" spans="1:2">
      <c r="A191" t="s">
        <v>7298</v>
      </c>
      <c r="B191" t="s">
        <v>9234</v>
      </c>
    </row>
    <row r="192" spans="1:2">
      <c r="A192" t="s">
        <v>7299</v>
      </c>
      <c r="B192" t="s">
        <v>9235</v>
      </c>
    </row>
    <row r="193" spans="1:2">
      <c r="A193" t="s">
        <v>7313</v>
      </c>
      <c r="B193" t="s">
        <v>9236</v>
      </c>
    </row>
    <row r="194" spans="1:2">
      <c r="A194" t="s">
        <v>7314</v>
      </c>
      <c r="B194" t="s">
        <v>9237</v>
      </c>
    </row>
    <row r="195" spans="1:2">
      <c r="A195" t="s">
        <v>7315</v>
      </c>
      <c r="B195" t="s">
        <v>9238</v>
      </c>
    </row>
    <row r="196" spans="1:2">
      <c r="A196" t="s">
        <v>7316</v>
      </c>
      <c r="B196" t="s">
        <v>9239</v>
      </c>
    </row>
    <row r="197" spans="1:2">
      <c r="A197" t="s">
        <v>7317</v>
      </c>
      <c r="B197" t="s">
        <v>9240</v>
      </c>
    </row>
    <row r="198" spans="1:2">
      <c r="A198" t="s">
        <v>7318</v>
      </c>
      <c r="B198" t="s">
        <v>9241</v>
      </c>
    </row>
    <row r="199" spans="1:2">
      <c r="A199" t="s">
        <v>7319</v>
      </c>
      <c r="B199" t="s">
        <v>9242</v>
      </c>
    </row>
    <row r="200" spans="1:2">
      <c r="A200" t="s">
        <v>7333</v>
      </c>
      <c r="B200" t="s">
        <v>9243</v>
      </c>
    </row>
    <row r="201" spans="1:2">
      <c r="A201" t="s">
        <v>7334</v>
      </c>
      <c r="B201" t="s">
        <v>9244</v>
      </c>
    </row>
    <row r="202" spans="1:2">
      <c r="A202" t="s">
        <v>7335</v>
      </c>
      <c r="B202" t="s">
        <v>9245</v>
      </c>
    </row>
    <row r="203" spans="1:2">
      <c r="A203" t="s">
        <v>7336</v>
      </c>
      <c r="B203" t="s">
        <v>9246</v>
      </c>
    </row>
    <row r="204" spans="1:2">
      <c r="A204" t="s">
        <v>7337</v>
      </c>
      <c r="B204" t="s">
        <v>9247</v>
      </c>
    </row>
    <row r="205" spans="1:2">
      <c r="A205" t="s">
        <v>7338</v>
      </c>
      <c r="B205" t="s">
        <v>9248</v>
      </c>
    </row>
    <row r="206" spans="1:2">
      <c r="A206" t="s">
        <v>7339</v>
      </c>
      <c r="B206" t="s">
        <v>9249</v>
      </c>
    </row>
    <row r="207" spans="1:2">
      <c r="A207" t="s">
        <v>7353</v>
      </c>
      <c r="B207" t="s">
        <v>9250</v>
      </c>
    </row>
    <row r="208" spans="1:2">
      <c r="A208" t="s">
        <v>7354</v>
      </c>
      <c r="B208" t="s">
        <v>9251</v>
      </c>
    </row>
    <row r="209" spans="1:2">
      <c r="A209" t="s">
        <v>7355</v>
      </c>
      <c r="B209" t="s">
        <v>9252</v>
      </c>
    </row>
    <row r="210" spans="1:2">
      <c r="A210" t="s">
        <v>7356</v>
      </c>
      <c r="B210" t="s">
        <v>9253</v>
      </c>
    </row>
    <row r="211" spans="1:2">
      <c r="A211" t="s">
        <v>7357</v>
      </c>
      <c r="B211" t="s">
        <v>9254</v>
      </c>
    </row>
    <row r="212" spans="1:2">
      <c r="A212" t="s">
        <v>7358</v>
      </c>
      <c r="B212" t="s">
        <v>9255</v>
      </c>
    </row>
    <row r="213" spans="1:2">
      <c r="A213" t="s">
        <v>7359</v>
      </c>
      <c r="B213" t="s">
        <v>9256</v>
      </c>
    </row>
    <row r="214" spans="1:2">
      <c r="A214" t="s">
        <v>7373</v>
      </c>
      <c r="B214" t="s">
        <v>9257</v>
      </c>
    </row>
    <row r="215" spans="1:2">
      <c r="A215" t="s">
        <v>7374</v>
      </c>
      <c r="B215" t="s">
        <v>9258</v>
      </c>
    </row>
    <row r="216" spans="1:2">
      <c r="A216" t="s">
        <v>7375</v>
      </c>
      <c r="B216" t="s">
        <v>9259</v>
      </c>
    </row>
    <row r="217" spans="1:2">
      <c r="A217" t="s">
        <v>7376</v>
      </c>
      <c r="B217" t="s">
        <v>9260</v>
      </c>
    </row>
    <row r="218" spans="1:2">
      <c r="A218" t="s">
        <v>7377</v>
      </c>
      <c r="B218" t="s">
        <v>9261</v>
      </c>
    </row>
    <row r="219" spans="1:2">
      <c r="A219" t="s">
        <v>7378</v>
      </c>
      <c r="B219" t="s">
        <v>9262</v>
      </c>
    </row>
    <row r="220" spans="1:2">
      <c r="A220" t="s">
        <v>7379</v>
      </c>
      <c r="B220" t="s">
        <v>9263</v>
      </c>
    </row>
    <row r="221" spans="1:2">
      <c r="A221" t="s">
        <v>7393</v>
      </c>
      <c r="B221" t="s">
        <v>9264</v>
      </c>
    </row>
    <row r="222" spans="1:2">
      <c r="A222" t="s">
        <v>7394</v>
      </c>
      <c r="B222" t="s">
        <v>9265</v>
      </c>
    </row>
    <row r="223" spans="1:2">
      <c r="A223" t="s">
        <v>7395</v>
      </c>
      <c r="B223" t="s">
        <v>9266</v>
      </c>
    </row>
    <row r="224" spans="1:2">
      <c r="A224" t="s">
        <v>7396</v>
      </c>
      <c r="B224" t="s">
        <v>9267</v>
      </c>
    </row>
    <row r="225" spans="1:2">
      <c r="A225" t="s">
        <v>7397</v>
      </c>
      <c r="B225" t="s">
        <v>9268</v>
      </c>
    </row>
    <row r="226" spans="1:2">
      <c r="A226" t="s">
        <v>7398</v>
      </c>
      <c r="B226" t="s">
        <v>9269</v>
      </c>
    </row>
    <row r="227" spans="1:2">
      <c r="A227" t="s">
        <v>7399</v>
      </c>
      <c r="B227" t="s">
        <v>9270</v>
      </c>
    </row>
    <row r="228" spans="1:2">
      <c r="A228" t="s">
        <v>7413</v>
      </c>
      <c r="B228" t="s">
        <v>9271</v>
      </c>
    </row>
    <row r="229" spans="1:2">
      <c r="A229" t="s">
        <v>7414</v>
      </c>
      <c r="B229" t="s">
        <v>9272</v>
      </c>
    </row>
    <row r="230" spans="1:2">
      <c r="A230" t="s">
        <v>7415</v>
      </c>
      <c r="B230" t="s">
        <v>9273</v>
      </c>
    </row>
    <row r="231" spans="1:2">
      <c r="A231" t="s">
        <v>7416</v>
      </c>
      <c r="B231" t="s">
        <v>9274</v>
      </c>
    </row>
    <row r="232" spans="1:2">
      <c r="A232" t="s">
        <v>7417</v>
      </c>
      <c r="B232" t="s">
        <v>9275</v>
      </c>
    </row>
    <row r="233" spans="1:2">
      <c r="A233" t="s">
        <v>7418</v>
      </c>
      <c r="B233" t="s">
        <v>9276</v>
      </c>
    </row>
    <row r="234" spans="1:2">
      <c r="A234" t="s">
        <v>7419</v>
      </c>
      <c r="B234" t="s">
        <v>9277</v>
      </c>
    </row>
    <row r="235" spans="1:2">
      <c r="A235" t="s">
        <v>7433</v>
      </c>
      <c r="B235" t="s">
        <v>9278</v>
      </c>
    </row>
    <row r="236" spans="1:2">
      <c r="A236" t="s">
        <v>7434</v>
      </c>
      <c r="B236" t="s">
        <v>9279</v>
      </c>
    </row>
    <row r="237" spans="1:2">
      <c r="A237" t="s">
        <v>7435</v>
      </c>
      <c r="B237" t="s">
        <v>9280</v>
      </c>
    </row>
    <row r="238" spans="1:2">
      <c r="A238" t="s">
        <v>7436</v>
      </c>
      <c r="B238" t="s">
        <v>9281</v>
      </c>
    </row>
    <row r="239" spans="1:2">
      <c r="A239" t="s">
        <v>7437</v>
      </c>
      <c r="B239" t="s">
        <v>9282</v>
      </c>
    </row>
    <row r="240" spans="1:2">
      <c r="A240" t="s">
        <v>7438</v>
      </c>
      <c r="B240" t="s">
        <v>9283</v>
      </c>
    </row>
    <row r="241" spans="1:2">
      <c r="A241" t="s">
        <v>7439</v>
      </c>
      <c r="B241" t="s">
        <v>9284</v>
      </c>
    </row>
    <row r="242" spans="1:2">
      <c r="A242" t="s">
        <v>7453</v>
      </c>
      <c r="B242" t="s">
        <v>9285</v>
      </c>
    </row>
    <row r="243" spans="1:2">
      <c r="A243" t="s">
        <v>7454</v>
      </c>
      <c r="B243" t="s">
        <v>9286</v>
      </c>
    </row>
    <row r="244" spans="1:2">
      <c r="A244" t="s">
        <v>7455</v>
      </c>
      <c r="B244" t="s">
        <v>9287</v>
      </c>
    </row>
    <row r="245" spans="1:2">
      <c r="A245" t="s">
        <v>7456</v>
      </c>
      <c r="B245" t="s">
        <v>9288</v>
      </c>
    </row>
    <row r="246" spans="1:2">
      <c r="A246" t="s">
        <v>7457</v>
      </c>
      <c r="B246" t="s">
        <v>9289</v>
      </c>
    </row>
    <row r="247" spans="1:2">
      <c r="A247" t="s">
        <v>7458</v>
      </c>
      <c r="B247" t="s">
        <v>9290</v>
      </c>
    </row>
    <row r="248" spans="1:2">
      <c r="A248" t="s">
        <v>7459</v>
      </c>
      <c r="B248" t="s">
        <v>9291</v>
      </c>
    </row>
    <row r="249" spans="1:2">
      <c r="A249" t="s">
        <v>7473</v>
      </c>
      <c r="B249" t="s">
        <v>9292</v>
      </c>
    </row>
    <row r="250" spans="1:2">
      <c r="A250" t="s">
        <v>7474</v>
      </c>
      <c r="B250" t="s">
        <v>9293</v>
      </c>
    </row>
    <row r="251" spans="1:2">
      <c r="A251" t="s">
        <v>7475</v>
      </c>
      <c r="B251" t="s">
        <v>9294</v>
      </c>
    </row>
    <row r="252" spans="1:2">
      <c r="A252" t="s">
        <v>7476</v>
      </c>
      <c r="B252" t="s">
        <v>9295</v>
      </c>
    </row>
    <row r="253" spans="1:2">
      <c r="A253" t="s">
        <v>7477</v>
      </c>
      <c r="B253" t="s">
        <v>9296</v>
      </c>
    </row>
    <row r="254" spans="1:2">
      <c r="A254" t="s">
        <v>7478</v>
      </c>
      <c r="B254" t="s">
        <v>9297</v>
      </c>
    </row>
    <row r="255" spans="1:2">
      <c r="A255" t="s">
        <v>7479</v>
      </c>
      <c r="B255" t="s">
        <v>9298</v>
      </c>
    </row>
    <row r="256" spans="1:2">
      <c r="A256" t="s">
        <v>7493</v>
      </c>
      <c r="B256" t="s">
        <v>9299</v>
      </c>
    </row>
    <row r="257" spans="1:2">
      <c r="A257" t="s">
        <v>7494</v>
      </c>
      <c r="B257" t="s">
        <v>9300</v>
      </c>
    </row>
    <row r="258" spans="1:2">
      <c r="A258" t="s">
        <v>7495</v>
      </c>
      <c r="B258" t="s">
        <v>9301</v>
      </c>
    </row>
    <row r="259" spans="1:2">
      <c r="A259" t="s">
        <v>7496</v>
      </c>
      <c r="B259" t="s">
        <v>9302</v>
      </c>
    </row>
    <row r="260" spans="1:2">
      <c r="A260" t="s">
        <v>7497</v>
      </c>
      <c r="B260" t="s">
        <v>9303</v>
      </c>
    </row>
    <row r="261" spans="1:2">
      <c r="A261" t="s">
        <v>7498</v>
      </c>
      <c r="B261" t="s">
        <v>9304</v>
      </c>
    </row>
    <row r="262" spans="1:2">
      <c r="A262" t="s">
        <v>7499</v>
      </c>
      <c r="B262" t="s">
        <v>9305</v>
      </c>
    </row>
    <row r="263" spans="1:2">
      <c r="A263" t="s">
        <v>7513</v>
      </c>
      <c r="B263" t="s">
        <v>9306</v>
      </c>
    </row>
    <row r="264" spans="1:2">
      <c r="A264" t="s">
        <v>7514</v>
      </c>
      <c r="B264" t="s">
        <v>9307</v>
      </c>
    </row>
    <row r="265" spans="1:2">
      <c r="A265" t="s">
        <v>7515</v>
      </c>
      <c r="B265" t="s">
        <v>9308</v>
      </c>
    </row>
    <row r="266" spans="1:2">
      <c r="A266" t="s">
        <v>7516</v>
      </c>
      <c r="B266" t="s">
        <v>9309</v>
      </c>
    </row>
    <row r="267" spans="1:2">
      <c r="A267" t="s">
        <v>7517</v>
      </c>
      <c r="B267" t="s">
        <v>9310</v>
      </c>
    </row>
    <row r="268" spans="1:2">
      <c r="A268" t="s">
        <v>7518</v>
      </c>
      <c r="B268" t="s">
        <v>9311</v>
      </c>
    </row>
    <row r="269" spans="1:2">
      <c r="A269" t="s">
        <v>7519</v>
      </c>
      <c r="B269" t="s">
        <v>9312</v>
      </c>
    </row>
    <row r="270" spans="1:2">
      <c r="A270" t="s">
        <v>7533</v>
      </c>
      <c r="B270" t="s">
        <v>9313</v>
      </c>
    </row>
    <row r="271" spans="1:2">
      <c r="A271" t="s">
        <v>7534</v>
      </c>
      <c r="B271" t="s">
        <v>9314</v>
      </c>
    </row>
    <row r="272" spans="1:2">
      <c r="A272" t="s">
        <v>7535</v>
      </c>
      <c r="B272" t="s">
        <v>9315</v>
      </c>
    </row>
    <row r="273" spans="1:2">
      <c r="A273" t="s">
        <v>7536</v>
      </c>
      <c r="B273" t="s">
        <v>9316</v>
      </c>
    </row>
    <row r="274" spans="1:2">
      <c r="A274" t="s">
        <v>7537</v>
      </c>
      <c r="B274" t="s">
        <v>9317</v>
      </c>
    </row>
    <row r="275" spans="1:2">
      <c r="A275" t="s">
        <v>7538</v>
      </c>
      <c r="B275" t="s">
        <v>9318</v>
      </c>
    </row>
    <row r="276" spans="1:2">
      <c r="A276" t="s">
        <v>7539</v>
      </c>
      <c r="B276" t="s">
        <v>9319</v>
      </c>
    </row>
    <row r="277" spans="1:2">
      <c r="A277" t="s">
        <v>7553</v>
      </c>
      <c r="B277" t="s">
        <v>9320</v>
      </c>
    </row>
    <row r="278" spans="1:2">
      <c r="A278" t="s">
        <v>7554</v>
      </c>
      <c r="B278" t="s">
        <v>9321</v>
      </c>
    </row>
    <row r="279" spans="1:2">
      <c r="A279" t="s">
        <v>7555</v>
      </c>
      <c r="B279" t="s">
        <v>9322</v>
      </c>
    </row>
    <row r="280" spans="1:2">
      <c r="A280" t="s">
        <v>7556</v>
      </c>
      <c r="B280" t="s">
        <v>9323</v>
      </c>
    </row>
    <row r="281" spans="1:2">
      <c r="A281" t="s">
        <v>7557</v>
      </c>
      <c r="B281" t="s">
        <v>9324</v>
      </c>
    </row>
    <row r="282" spans="1:2">
      <c r="A282" t="s">
        <v>7558</v>
      </c>
      <c r="B282" t="s">
        <v>9325</v>
      </c>
    </row>
    <row r="283" spans="1:2">
      <c r="A283" t="s">
        <v>7559</v>
      </c>
      <c r="B283" t="s">
        <v>9326</v>
      </c>
    </row>
    <row r="284" spans="1:2">
      <c r="A284" t="s">
        <v>7573</v>
      </c>
      <c r="B284" t="s">
        <v>9327</v>
      </c>
    </row>
    <row r="285" spans="1:2">
      <c r="A285" t="s">
        <v>7574</v>
      </c>
      <c r="B285" t="s">
        <v>9328</v>
      </c>
    </row>
    <row r="286" spans="1:2">
      <c r="A286" t="s">
        <v>7575</v>
      </c>
      <c r="B286" t="s">
        <v>9329</v>
      </c>
    </row>
    <row r="287" spans="1:2">
      <c r="A287" t="s">
        <v>7576</v>
      </c>
      <c r="B287" t="s">
        <v>9330</v>
      </c>
    </row>
    <row r="288" spans="1:2">
      <c r="A288" t="s">
        <v>7577</v>
      </c>
      <c r="B288" t="s">
        <v>9331</v>
      </c>
    </row>
    <row r="289" spans="1:2">
      <c r="A289" t="s">
        <v>7578</v>
      </c>
      <c r="B289" t="s">
        <v>9332</v>
      </c>
    </row>
    <row r="290" spans="1:2">
      <c r="A290" t="s">
        <v>7579</v>
      </c>
      <c r="B290" t="s">
        <v>9333</v>
      </c>
    </row>
    <row r="291" spans="1:2">
      <c r="A291" t="s">
        <v>6684</v>
      </c>
      <c r="B291" t="s">
        <v>9334</v>
      </c>
    </row>
    <row r="292" spans="1:2">
      <c r="A292" t="s">
        <v>7160</v>
      </c>
      <c r="B292" t="s">
        <v>9335</v>
      </c>
    </row>
    <row r="293" spans="1:2">
      <c r="A293" t="s">
        <v>7180</v>
      </c>
      <c r="B293" t="s">
        <v>9336</v>
      </c>
    </row>
    <row r="294" spans="1:2">
      <c r="A294" t="s">
        <v>7200</v>
      </c>
      <c r="B294" t="s">
        <v>9337</v>
      </c>
    </row>
    <row r="295" spans="1:2">
      <c r="A295" t="s">
        <v>7220</v>
      </c>
      <c r="B295" t="s">
        <v>9338</v>
      </c>
    </row>
    <row r="296" spans="1:2">
      <c r="A296" t="s">
        <v>7240</v>
      </c>
      <c r="B296" t="s">
        <v>9339</v>
      </c>
    </row>
    <row r="297" spans="1:2">
      <c r="A297" t="s">
        <v>7260</v>
      </c>
      <c r="B297" t="s">
        <v>9340</v>
      </c>
    </row>
    <row r="298" spans="1:2">
      <c r="A298" t="s">
        <v>7280</v>
      </c>
      <c r="B298" t="s">
        <v>9341</v>
      </c>
    </row>
    <row r="299" spans="1:2">
      <c r="A299" t="s">
        <v>7300</v>
      </c>
      <c r="B299" t="s">
        <v>9342</v>
      </c>
    </row>
    <row r="300" spans="1:2">
      <c r="A300" t="s">
        <v>7320</v>
      </c>
      <c r="B300" t="s">
        <v>9343</v>
      </c>
    </row>
    <row r="301" spans="1:2">
      <c r="A301" t="s">
        <v>7340</v>
      </c>
      <c r="B301" t="s">
        <v>9344</v>
      </c>
    </row>
    <row r="302" spans="1:2">
      <c r="A302" t="s">
        <v>7360</v>
      </c>
      <c r="B302" t="s">
        <v>9345</v>
      </c>
    </row>
    <row r="303" spans="1:2">
      <c r="A303" t="s">
        <v>7380</v>
      </c>
      <c r="B303" t="s">
        <v>9346</v>
      </c>
    </row>
    <row r="304" spans="1:2">
      <c r="A304" t="s">
        <v>7400</v>
      </c>
      <c r="B304" t="s">
        <v>9347</v>
      </c>
    </row>
    <row r="305" spans="1:2">
      <c r="A305" t="s">
        <v>7420</v>
      </c>
      <c r="B305" t="s">
        <v>9348</v>
      </c>
    </row>
    <row r="306" spans="1:2">
      <c r="A306" t="s">
        <v>7440</v>
      </c>
      <c r="B306" t="s">
        <v>9349</v>
      </c>
    </row>
    <row r="307" spans="1:2">
      <c r="A307" t="s">
        <v>7460</v>
      </c>
      <c r="B307" t="s">
        <v>9350</v>
      </c>
    </row>
    <row r="308" spans="1:2">
      <c r="A308" t="s">
        <v>7480</v>
      </c>
      <c r="B308" t="s">
        <v>9351</v>
      </c>
    </row>
    <row r="309" spans="1:2">
      <c r="A309" t="s">
        <v>7500</v>
      </c>
      <c r="B309" t="s">
        <v>9352</v>
      </c>
    </row>
    <row r="310" spans="1:2">
      <c r="A310" t="s">
        <v>7520</v>
      </c>
      <c r="B310" t="s">
        <v>9353</v>
      </c>
    </row>
    <row r="311" spans="1:2">
      <c r="A311" t="s">
        <v>7540</v>
      </c>
      <c r="B311" t="s">
        <v>9354</v>
      </c>
    </row>
    <row r="312" spans="1:2">
      <c r="A312" t="s">
        <v>7560</v>
      </c>
      <c r="B312" t="s">
        <v>9355</v>
      </c>
    </row>
    <row r="313" spans="1:2">
      <c r="A313" t="s">
        <v>6687</v>
      </c>
      <c r="B313" t="s">
        <v>9356</v>
      </c>
    </row>
    <row r="314" spans="1:2">
      <c r="A314" t="s">
        <v>7172</v>
      </c>
      <c r="B314" t="s">
        <v>9357</v>
      </c>
    </row>
    <row r="315" spans="1:2">
      <c r="A315" t="s">
        <v>7192</v>
      </c>
      <c r="B315" t="s">
        <v>9358</v>
      </c>
    </row>
    <row r="316" spans="1:2">
      <c r="A316" t="s">
        <v>7212</v>
      </c>
      <c r="B316" t="s">
        <v>9359</v>
      </c>
    </row>
    <row r="317" spans="1:2">
      <c r="A317" t="s">
        <v>7232</v>
      </c>
      <c r="B317" t="s">
        <v>9360</v>
      </c>
    </row>
    <row r="318" spans="1:2">
      <c r="A318" t="s">
        <v>7252</v>
      </c>
      <c r="B318" t="s">
        <v>9361</v>
      </c>
    </row>
    <row r="319" spans="1:2">
      <c r="A319" t="s">
        <v>7272</v>
      </c>
      <c r="B319" t="s">
        <v>9362</v>
      </c>
    </row>
    <row r="320" spans="1:2">
      <c r="A320" t="s">
        <v>7292</v>
      </c>
      <c r="B320" t="s">
        <v>9363</v>
      </c>
    </row>
    <row r="321" spans="1:2">
      <c r="A321" t="s">
        <v>7312</v>
      </c>
      <c r="B321" t="s">
        <v>9364</v>
      </c>
    </row>
    <row r="322" spans="1:2">
      <c r="A322" t="s">
        <v>7332</v>
      </c>
      <c r="B322" t="s">
        <v>9365</v>
      </c>
    </row>
    <row r="323" spans="1:2">
      <c r="A323" t="s">
        <v>7352</v>
      </c>
      <c r="B323" t="s">
        <v>9366</v>
      </c>
    </row>
    <row r="324" spans="1:2">
      <c r="A324" t="s">
        <v>7372</v>
      </c>
      <c r="B324" t="s">
        <v>9367</v>
      </c>
    </row>
    <row r="325" spans="1:2">
      <c r="A325" t="s">
        <v>7392</v>
      </c>
      <c r="B325" t="s">
        <v>9368</v>
      </c>
    </row>
    <row r="326" spans="1:2">
      <c r="A326" t="s">
        <v>7412</v>
      </c>
      <c r="B326" t="s">
        <v>9369</v>
      </c>
    </row>
    <row r="327" spans="1:2">
      <c r="A327" t="s">
        <v>7432</v>
      </c>
      <c r="B327" t="s">
        <v>9370</v>
      </c>
    </row>
    <row r="328" spans="1:2">
      <c r="A328" t="s">
        <v>7452</v>
      </c>
      <c r="B328" t="s">
        <v>9371</v>
      </c>
    </row>
    <row r="329" spans="1:2">
      <c r="A329" t="s">
        <v>7472</v>
      </c>
      <c r="B329" t="s">
        <v>9372</v>
      </c>
    </row>
    <row r="330" spans="1:2">
      <c r="A330" t="s">
        <v>7492</v>
      </c>
      <c r="B330" t="s">
        <v>9373</v>
      </c>
    </row>
    <row r="331" spans="1:2">
      <c r="A331" t="s">
        <v>7512</v>
      </c>
      <c r="B331" t="s">
        <v>9374</v>
      </c>
    </row>
    <row r="332" spans="1:2">
      <c r="A332" t="s">
        <v>7532</v>
      </c>
      <c r="B332" t="s">
        <v>9375</v>
      </c>
    </row>
    <row r="333" spans="1:2">
      <c r="A333" t="s">
        <v>7552</v>
      </c>
      <c r="B333" t="s">
        <v>9376</v>
      </c>
    </row>
    <row r="334" spans="1:2">
      <c r="A334" t="s">
        <v>7572</v>
      </c>
      <c r="B334" t="s">
        <v>9377</v>
      </c>
    </row>
    <row r="335" spans="1:2">
      <c r="A335" t="s">
        <v>9421</v>
      </c>
      <c r="B335" t="s">
        <v>9419</v>
      </c>
    </row>
    <row r="336" spans="1:2">
      <c r="A336" t="s">
        <v>6112</v>
      </c>
      <c r="B336" t="s">
        <v>9420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B8D0-04FA-432B-A0D3-962F58702C4F}">
  <dimension ref="A1:B242"/>
  <sheetViews>
    <sheetView workbookViewId="0">
      <selection activeCell="B1" sqref="B1"/>
    </sheetView>
  </sheetViews>
  <sheetFormatPr defaultRowHeight="15"/>
  <sheetData>
    <row r="1" spans="1:2">
      <c r="A1" t="s">
        <v>9035</v>
      </c>
      <c r="B1" t="s">
        <v>9026</v>
      </c>
    </row>
    <row r="2" spans="1:2">
      <c r="A2" t="s">
        <v>9036</v>
      </c>
      <c r="B2" t="s">
        <v>9035</v>
      </c>
    </row>
    <row r="3" spans="1:2">
      <c r="A3" t="s">
        <v>9037</v>
      </c>
      <c r="B3" t="s">
        <v>9035</v>
      </c>
    </row>
    <row r="4" spans="1:2">
      <c r="A4" t="s">
        <v>9033</v>
      </c>
      <c r="B4" t="s">
        <v>9035</v>
      </c>
    </row>
    <row r="5" spans="1:2">
      <c r="A5" t="s">
        <v>9040</v>
      </c>
      <c r="B5" t="s">
        <v>6118</v>
      </c>
    </row>
    <row r="6" spans="1:2">
      <c r="A6" t="s">
        <v>9042</v>
      </c>
      <c r="B6" t="s">
        <v>9040</v>
      </c>
    </row>
    <row r="7" spans="1:2">
      <c r="A7" t="s">
        <v>9043</v>
      </c>
      <c r="B7" t="s">
        <v>9040</v>
      </c>
    </row>
    <row r="8" spans="1:2">
      <c r="A8" t="s">
        <v>9044</v>
      </c>
      <c r="B8" t="s">
        <v>9040</v>
      </c>
    </row>
    <row r="9" spans="1:2">
      <c r="A9" t="s">
        <v>9045</v>
      </c>
      <c r="B9" t="s">
        <v>9040</v>
      </c>
    </row>
    <row r="10" spans="1:2">
      <c r="A10" t="s">
        <v>9046</v>
      </c>
      <c r="B10" t="s">
        <v>9040</v>
      </c>
    </row>
    <row r="11" spans="1:2">
      <c r="A11" t="s">
        <v>9052</v>
      </c>
      <c r="B11" t="s">
        <v>9040</v>
      </c>
    </row>
    <row r="12" spans="1:2">
      <c r="A12" t="s">
        <v>9053</v>
      </c>
      <c r="B12" t="s">
        <v>9040</v>
      </c>
    </row>
    <row r="13" spans="1:2">
      <c r="A13" t="s">
        <v>9054</v>
      </c>
      <c r="B13" t="s">
        <v>9040</v>
      </c>
    </row>
    <row r="14" spans="1:2">
      <c r="A14" t="s">
        <v>9055</v>
      </c>
      <c r="B14" t="s">
        <v>9040</v>
      </c>
    </row>
    <row r="15" spans="1:2">
      <c r="A15" t="s">
        <v>9056</v>
      </c>
      <c r="B15" t="s">
        <v>9040</v>
      </c>
    </row>
    <row r="16" spans="1:2">
      <c r="A16" t="s">
        <v>9057</v>
      </c>
      <c r="B16" t="s">
        <v>275</v>
      </c>
    </row>
    <row r="17" spans="1:2">
      <c r="A17" t="s">
        <v>6100</v>
      </c>
      <c r="B17" t="s">
        <v>6118</v>
      </c>
    </row>
    <row r="18" spans="1:2">
      <c r="A18" t="s">
        <v>9059</v>
      </c>
      <c r="B18" t="s">
        <v>6100</v>
      </c>
    </row>
    <row r="19" spans="1:2">
      <c r="A19" t="s">
        <v>9060</v>
      </c>
      <c r="B19" t="s">
        <v>6100</v>
      </c>
    </row>
    <row r="20" spans="1:2">
      <c r="A20" t="s">
        <v>9071</v>
      </c>
      <c r="B20" t="s">
        <v>6118</v>
      </c>
    </row>
    <row r="21" spans="1:2">
      <c r="A21" t="s">
        <v>9065</v>
      </c>
      <c r="B21" t="s">
        <v>9071</v>
      </c>
    </row>
    <row r="22" spans="1:2">
      <c r="A22" t="s">
        <v>7583</v>
      </c>
      <c r="B22" t="s">
        <v>9071</v>
      </c>
    </row>
    <row r="23" spans="1:2">
      <c r="A23" t="s">
        <v>9066</v>
      </c>
      <c r="B23" t="s">
        <v>9071</v>
      </c>
    </row>
    <row r="24" spans="1:2">
      <c r="A24" t="s">
        <v>1713</v>
      </c>
      <c r="B24" t="s">
        <v>9071</v>
      </c>
    </row>
    <row r="25" spans="1:2">
      <c r="A25" t="s">
        <v>9072</v>
      </c>
      <c r="B25" t="s">
        <v>9071</v>
      </c>
    </row>
    <row r="26" spans="1:2">
      <c r="A26" t="s">
        <v>9073</v>
      </c>
      <c r="B26" t="s">
        <v>9071</v>
      </c>
    </row>
    <row r="27" spans="1:2">
      <c r="A27" t="s">
        <v>9074</v>
      </c>
      <c r="B27" t="s">
        <v>9071</v>
      </c>
    </row>
    <row r="28" spans="1:2">
      <c r="A28" t="s">
        <v>1714</v>
      </c>
      <c r="B28" t="s">
        <v>9071</v>
      </c>
    </row>
    <row r="29" spans="1:2">
      <c r="A29" t="s">
        <v>9075</v>
      </c>
      <c r="B29" t="s">
        <v>9071</v>
      </c>
    </row>
    <row r="30" spans="1:2">
      <c r="A30" t="s">
        <v>9076</v>
      </c>
      <c r="B30" t="s">
        <v>1713</v>
      </c>
    </row>
    <row r="31" spans="1:2">
      <c r="A31" t="s">
        <v>9077</v>
      </c>
      <c r="B31" t="s">
        <v>9071</v>
      </c>
    </row>
    <row r="32" spans="1:2">
      <c r="A32" t="s">
        <v>4935</v>
      </c>
      <c r="B32" t="s">
        <v>9071</v>
      </c>
    </row>
    <row r="33" spans="1:2">
      <c r="A33" t="s">
        <v>6097</v>
      </c>
      <c r="B33" t="s">
        <v>9079</v>
      </c>
    </row>
    <row r="34" spans="1:2">
      <c r="A34" t="s">
        <v>6099</v>
      </c>
      <c r="B34" t="s">
        <v>9079</v>
      </c>
    </row>
    <row r="35" spans="1:2">
      <c r="A35" t="s">
        <v>9078</v>
      </c>
      <c r="B35" t="s">
        <v>9079</v>
      </c>
    </row>
    <row r="36" spans="1:2">
      <c r="A36" t="s">
        <v>9081</v>
      </c>
      <c r="B36" t="s">
        <v>275</v>
      </c>
    </row>
    <row r="37" spans="1:2">
      <c r="A37" t="s">
        <v>4934</v>
      </c>
      <c r="B37" t="s">
        <v>275</v>
      </c>
    </row>
    <row r="38" spans="1:2">
      <c r="A38" t="s">
        <v>4936</v>
      </c>
      <c r="B38" t="s">
        <v>275</v>
      </c>
    </row>
    <row r="39" spans="1:2">
      <c r="A39" t="s">
        <v>9082</v>
      </c>
      <c r="B39" t="s">
        <v>275</v>
      </c>
    </row>
    <row r="40" spans="1:2">
      <c r="A40" t="s">
        <v>6101</v>
      </c>
      <c r="B40" t="s">
        <v>275</v>
      </c>
    </row>
    <row r="41" spans="1:2">
      <c r="A41" t="s">
        <v>6684</v>
      </c>
      <c r="B41" t="s">
        <v>9378</v>
      </c>
    </row>
    <row r="42" spans="1:2">
      <c r="A42" t="s">
        <v>7160</v>
      </c>
      <c r="B42" t="s">
        <v>9379</v>
      </c>
    </row>
    <row r="43" spans="1:2">
      <c r="A43" t="s">
        <v>7180</v>
      </c>
      <c r="B43" t="s">
        <v>8122</v>
      </c>
    </row>
    <row r="44" spans="1:2">
      <c r="A44" t="s">
        <v>7200</v>
      </c>
      <c r="B44" t="s">
        <v>9380</v>
      </c>
    </row>
    <row r="45" spans="1:2">
      <c r="A45" t="s">
        <v>7220</v>
      </c>
      <c r="B45" t="s">
        <v>9381</v>
      </c>
    </row>
    <row r="46" spans="1:2">
      <c r="A46" t="s">
        <v>7240</v>
      </c>
      <c r="B46" t="s">
        <v>9382</v>
      </c>
    </row>
    <row r="47" spans="1:2">
      <c r="A47" t="s">
        <v>7260</v>
      </c>
      <c r="B47" t="s">
        <v>9383</v>
      </c>
    </row>
    <row r="48" spans="1:2">
      <c r="A48" t="s">
        <v>7280</v>
      </c>
      <c r="B48" t="s">
        <v>9384</v>
      </c>
    </row>
    <row r="49" spans="1:2">
      <c r="A49" t="s">
        <v>7300</v>
      </c>
      <c r="B49" t="s">
        <v>9385</v>
      </c>
    </row>
    <row r="50" spans="1:2">
      <c r="A50" t="s">
        <v>7320</v>
      </c>
      <c r="B50" t="s">
        <v>9026</v>
      </c>
    </row>
    <row r="51" spans="1:2">
      <c r="A51" t="s">
        <v>7340</v>
      </c>
      <c r="B51" t="s">
        <v>9386</v>
      </c>
    </row>
    <row r="52" spans="1:2">
      <c r="A52" t="s">
        <v>7360</v>
      </c>
      <c r="B52" t="s">
        <v>9387</v>
      </c>
    </row>
    <row r="53" spans="1:2">
      <c r="A53" t="s">
        <v>7380</v>
      </c>
      <c r="B53" t="s">
        <v>9388</v>
      </c>
    </row>
    <row r="54" spans="1:2">
      <c r="A54" t="s">
        <v>7400</v>
      </c>
      <c r="B54" t="s">
        <v>9389</v>
      </c>
    </row>
    <row r="55" spans="1:2">
      <c r="A55" t="s">
        <v>7420</v>
      </c>
      <c r="B55" t="s">
        <v>9390</v>
      </c>
    </row>
    <row r="56" spans="1:2">
      <c r="A56" t="s">
        <v>7440</v>
      </c>
      <c r="B56" t="s">
        <v>9391</v>
      </c>
    </row>
    <row r="57" spans="1:2">
      <c r="A57" t="s">
        <v>7460</v>
      </c>
      <c r="B57" t="s">
        <v>9392</v>
      </c>
    </row>
    <row r="58" spans="1:2">
      <c r="A58" t="s">
        <v>7480</v>
      </c>
      <c r="B58" t="s">
        <v>9393</v>
      </c>
    </row>
    <row r="59" spans="1:2">
      <c r="A59" t="s">
        <v>7500</v>
      </c>
      <c r="B59" t="s">
        <v>9394</v>
      </c>
    </row>
    <row r="60" spans="1:2">
      <c r="A60" t="s">
        <v>7520</v>
      </c>
      <c r="B60" t="s">
        <v>9395</v>
      </c>
    </row>
    <row r="61" spans="1:2">
      <c r="A61" t="s">
        <v>7540</v>
      </c>
      <c r="B61" t="s">
        <v>9396</v>
      </c>
    </row>
    <row r="62" spans="1:2">
      <c r="A62" t="s">
        <v>7560</v>
      </c>
      <c r="B62" t="s">
        <v>9397</v>
      </c>
    </row>
    <row r="63" spans="1:2">
      <c r="A63" t="s">
        <v>6687</v>
      </c>
      <c r="B63" t="s">
        <v>9398</v>
      </c>
    </row>
    <row r="64" spans="1:2">
      <c r="A64" t="s">
        <v>7172</v>
      </c>
      <c r="B64" t="s">
        <v>9399</v>
      </c>
    </row>
    <row r="65" spans="1:2">
      <c r="A65" t="s">
        <v>7192</v>
      </c>
      <c r="B65" t="s">
        <v>879</v>
      </c>
    </row>
    <row r="66" spans="1:2">
      <c r="A66" t="s">
        <v>7212</v>
      </c>
      <c r="B66" t="s">
        <v>9400</v>
      </c>
    </row>
    <row r="67" spans="1:2">
      <c r="A67" t="s">
        <v>7232</v>
      </c>
      <c r="B67" t="s">
        <v>9401</v>
      </c>
    </row>
    <row r="68" spans="1:2">
      <c r="A68" t="s">
        <v>7252</v>
      </c>
      <c r="B68" t="s">
        <v>9402</v>
      </c>
    </row>
    <row r="69" spans="1:2">
      <c r="A69" t="s">
        <v>7272</v>
      </c>
      <c r="B69" t="s">
        <v>9403</v>
      </c>
    </row>
    <row r="70" spans="1:2">
      <c r="A70" t="s">
        <v>7292</v>
      </c>
      <c r="B70" t="s">
        <v>9404</v>
      </c>
    </row>
    <row r="71" spans="1:2">
      <c r="A71" t="s">
        <v>7312</v>
      </c>
      <c r="B71" t="s">
        <v>9405</v>
      </c>
    </row>
    <row r="72" spans="1:2">
      <c r="A72" t="s">
        <v>7332</v>
      </c>
      <c r="B72" t="s">
        <v>9406</v>
      </c>
    </row>
    <row r="73" spans="1:2">
      <c r="A73" t="s">
        <v>7352</v>
      </c>
      <c r="B73" t="s">
        <v>9407</v>
      </c>
    </row>
    <row r="74" spans="1:2">
      <c r="A74" t="s">
        <v>7372</v>
      </c>
      <c r="B74" t="s">
        <v>9408</v>
      </c>
    </row>
    <row r="75" spans="1:2">
      <c r="A75" t="s">
        <v>7392</v>
      </c>
      <c r="B75" t="s">
        <v>9409</v>
      </c>
    </row>
    <row r="76" spans="1:2">
      <c r="A76" t="s">
        <v>7412</v>
      </c>
      <c r="B76" t="s">
        <v>9410</v>
      </c>
    </row>
    <row r="77" spans="1:2">
      <c r="A77" t="s">
        <v>7432</v>
      </c>
      <c r="B77" t="s">
        <v>9411</v>
      </c>
    </row>
    <row r="78" spans="1:2">
      <c r="A78" t="s">
        <v>7452</v>
      </c>
      <c r="B78" t="s">
        <v>9412</v>
      </c>
    </row>
    <row r="79" spans="1:2">
      <c r="A79" t="s">
        <v>7472</v>
      </c>
      <c r="B79" t="s">
        <v>9413</v>
      </c>
    </row>
    <row r="80" spans="1:2">
      <c r="A80" t="s">
        <v>7492</v>
      </c>
      <c r="B80" t="s">
        <v>9414</v>
      </c>
    </row>
    <row r="81" spans="1:2">
      <c r="A81" t="s">
        <v>7512</v>
      </c>
      <c r="B81" t="s">
        <v>9415</v>
      </c>
    </row>
    <row r="82" spans="1:2">
      <c r="A82" t="s">
        <v>7532</v>
      </c>
      <c r="B82" t="s">
        <v>9416</v>
      </c>
    </row>
    <row r="83" spans="1:2">
      <c r="A83" t="s">
        <v>7552</v>
      </c>
      <c r="B83" t="s">
        <v>9417</v>
      </c>
    </row>
    <row r="84" spans="1:2">
      <c r="A84" t="s">
        <v>7572</v>
      </c>
      <c r="B84" t="s">
        <v>9418</v>
      </c>
    </row>
    <row r="85" spans="1:2">
      <c r="A85" t="s">
        <v>6682</v>
      </c>
      <c r="B85" t="s">
        <v>275</v>
      </c>
    </row>
    <row r="86" spans="1:2">
      <c r="A86" t="s">
        <v>6690</v>
      </c>
      <c r="B86" t="s">
        <v>275</v>
      </c>
    </row>
    <row r="87" spans="1:2">
      <c r="A87" t="s">
        <v>6686</v>
      </c>
      <c r="B87" t="s">
        <v>275</v>
      </c>
    </row>
    <row r="88" spans="1:2">
      <c r="A88" t="s">
        <v>6696</v>
      </c>
      <c r="B88" t="s">
        <v>275</v>
      </c>
    </row>
    <row r="89" spans="1:2">
      <c r="A89" t="s">
        <v>6697</v>
      </c>
      <c r="B89" t="s">
        <v>275</v>
      </c>
    </row>
    <row r="90" spans="1:2">
      <c r="A90" t="s">
        <v>6698</v>
      </c>
      <c r="B90" t="s">
        <v>275</v>
      </c>
    </row>
    <row r="91" spans="1:2">
      <c r="A91" t="s">
        <v>6699</v>
      </c>
      <c r="B91" t="s">
        <v>275</v>
      </c>
    </row>
    <row r="92" spans="1:2">
      <c r="A92" t="s">
        <v>6700</v>
      </c>
      <c r="B92" t="s">
        <v>275</v>
      </c>
    </row>
    <row r="93" spans="1:2">
      <c r="A93" t="s">
        <v>7166</v>
      </c>
      <c r="B93" t="s">
        <v>275</v>
      </c>
    </row>
    <row r="94" spans="1:2">
      <c r="A94" t="s">
        <v>7167</v>
      </c>
      <c r="B94" t="s">
        <v>275</v>
      </c>
    </row>
    <row r="95" spans="1:2">
      <c r="A95" t="s">
        <v>7168</v>
      </c>
      <c r="B95" t="s">
        <v>275</v>
      </c>
    </row>
    <row r="96" spans="1:2">
      <c r="A96" t="s">
        <v>7169</v>
      </c>
      <c r="B96" t="s">
        <v>275</v>
      </c>
    </row>
    <row r="97" spans="1:2">
      <c r="A97" t="s">
        <v>7170</v>
      </c>
      <c r="B97" t="s">
        <v>275</v>
      </c>
    </row>
    <row r="98" spans="1:2">
      <c r="A98" t="s">
        <v>7171</v>
      </c>
      <c r="B98" t="s">
        <v>275</v>
      </c>
    </row>
    <row r="99" spans="1:2">
      <c r="A99" t="s">
        <v>7186</v>
      </c>
      <c r="B99" t="s">
        <v>275</v>
      </c>
    </row>
    <row r="100" spans="1:2">
      <c r="A100" t="s">
        <v>7187</v>
      </c>
      <c r="B100" t="s">
        <v>275</v>
      </c>
    </row>
    <row r="101" spans="1:2">
      <c r="A101" t="s">
        <v>7188</v>
      </c>
      <c r="B101" t="s">
        <v>275</v>
      </c>
    </row>
    <row r="102" spans="1:2">
      <c r="A102" t="s">
        <v>7189</v>
      </c>
      <c r="B102" t="s">
        <v>275</v>
      </c>
    </row>
    <row r="103" spans="1:2">
      <c r="A103" t="s">
        <v>7190</v>
      </c>
      <c r="B103" t="s">
        <v>275</v>
      </c>
    </row>
    <row r="104" spans="1:2">
      <c r="A104" t="s">
        <v>7191</v>
      </c>
      <c r="B104" t="s">
        <v>275</v>
      </c>
    </row>
    <row r="105" spans="1:2">
      <c r="A105" t="s">
        <v>7206</v>
      </c>
      <c r="B105" t="s">
        <v>275</v>
      </c>
    </row>
    <row r="106" spans="1:2">
      <c r="A106" t="s">
        <v>7207</v>
      </c>
      <c r="B106" t="s">
        <v>275</v>
      </c>
    </row>
    <row r="107" spans="1:2">
      <c r="A107" t="s">
        <v>7208</v>
      </c>
      <c r="B107" t="s">
        <v>275</v>
      </c>
    </row>
    <row r="108" spans="1:2">
      <c r="A108" t="s">
        <v>7209</v>
      </c>
      <c r="B108" t="s">
        <v>275</v>
      </c>
    </row>
    <row r="109" spans="1:2">
      <c r="A109" t="s">
        <v>7210</v>
      </c>
      <c r="B109" t="s">
        <v>275</v>
      </c>
    </row>
    <row r="110" spans="1:2">
      <c r="A110" t="s">
        <v>7211</v>
      </c>
      <c r="B110" t="s">
        <v>275</v>
      </c>
    </row>
    <row r="111" spans="1:2">
      <c r="A111" t="s">
        <v>7226</v>
      </c>
      <c r="B111" t="s">
        <v>275</v>
      </c>
    </row>
    <row r="112" spans="1:2">
      <c r="A112" t="s">
        <v>7227</v>
      </c>
      <c r="B112" t="s">
        <v>275</v>
      </c>
    </row>
    <row r="113" spans="1:2">
      <c r="A113" t="s">
        <v>7228</v>
      </c>
      <c r="B113" t="s">
        <v>275</v>
      </c>
    </row>
    <row r="114" spans="1:2">
      <c r="A114" t="s">
        <v>7229</v>
      </c>
      <c r="B114" t="s">
        <v>275</v>
      </c>
    </row>
    <row r="115" spans="1:2">
      <c r="A115" t="s">
        <v>7230</v>
      </c>
      <c r="B115" t="s">
        <v>275</v>
      </c>
    </row>
    <row r="116" spans="1:2">
      <c r="A116" t="s">
        <v>7231</v>
      </c>
      <c r="B116" t="s">
        <v>275</v>
      </c>
    </row>
    <row r="117" spans="1:2">
      <c r="A117" t="s">
        <v>7246</v>
      </c>
      <c r="B117" t="s">
        <v>275</v>
      </c>
    </row>
    <row r="118" spans="1:2">
      <c r="A118" t="s">
        <v>7247</v>
      </c>
      <c r="B118" t="s">
        <v>275</v>
      </c>
    </row>
    <row r="119" spans="1:2">
      <c r="A119" t="s">
        <v>7248</v>
      </c>
      <c r="B119" t="s">
        <v>275</v>
      </c>
    </row>
    <row r="120" spans="1:2">
      <c r="A120" t="s">
        <v>7249</v>
      </c>
      <c r="B120" t="s">
        <v>275</v>
      </c>
    </row>
    <row r="121" spans="1:2">
      <c r="A121" t="s">
        <v>7250</v>
      </c>
      <c r="B121" t="s">
        <v>275</v>
      </c>
    </row>
    <row r="122" spans="1:2">
      <c r="A122" t="s">
        <v>7251</v>
      </c>
      <c r="B122" t="s">
        <v>275</v>
      </c>
    </row>
    <row r="123" spans="1:2">
      <c r="A123" t="s">
        <v>7266</v>
      </c>
      <c r="B123" t="s">
        <v>275</v>
      </c>
    </row>
    <row r="124" spans="1:2">
      <c r="A124" t="s">
        <v>7267</v>
      </c>
      <c r="B124" t="s">
        <v>275</v>
      </c>
    </row>
    <row r="125" spans="1:2">
      <c r="A125" t="s">
        <v>7268</v>
      </c>
      <c r="B125" t="s">
        <v>275</v>
      </c>
    </row>
    <row r="126" spans="1:2">
      <c r="A126" t="s">
        <v>7269</v>
      </c>
      <c r="B126" t="s">
        <v>275</v>
      </c>
    </row>
    <row r="127" spans="1:2">
      <c r="A127" t="s">
        <v>7270</v>
      </c>
      <c r="B127" t="s">
        <v>275</v>
      </c>
    </row>
    <row r="128" spans="1:2">
      <c r="A128" t="s">
        <v>7271</v>
      </c>
      <c r="B128" t="s">
        <v>275</v>
      </c>
    </row>
    <row r="129" spans="1:2">
      <c r="A129" t="s">
        <v>7286</v>
      </c>
      <c r="B129" t="s">
        <v>275</v>
      </c>
    </row>
    <row r="130" spans="1:2">
      <c r="A130" t="s">
        <v>7287</v>
      </c>
      <c r="B130" t="s">
        <v>275</v>
      </c>
    </row>
    <row r="131" spans="1:2">
      <c r="A131" t="s">
        <v>7288</v>
      </c>
      <c r="B131" t="s">
        <v>275</v>
      </c>
    </row>
    <row r="132" spans="1:2">
      <c r="A132" t="s">
        <v>7289</v>
      </c>
      <c r="B132" t="s">
        <v>275</v>
      </c>
    </row>
    <row r="133" spans="1:2">
      <c r="A133" t="s">
        <v>7290</v>
      </c>
      <c r="B133" t="s">
        <v>275</v>
      </c>
    </row>
    <row r="134" spans="1:2">
      <c r="A134" t="s">
        <v>7291</v>
      </c>
      <c r="B134" t="s">
        <v>275</v>
      </c>
    </row>
    <row r="135" spans="1:2">
      <c r="A135" t="s">
        <v>7306</v>
      </c>
      <c r="B135" t="s">
        <v>275</v>
      </c>
    </row>
    <row r="136" spans="1:2">
      <c r="A136" t="s">
        <v>7307</v>
      </c>
      <c r="B136" t="s">
        <v>275</v>
      </c>
    </row>
    <row r="137" spans="1:2">
      <c r="A137" t="s">
        <v>7308</v>
      </c>
      <c r="B137" t="s">
        <v>275</v>
      </c>
    </row>
    <row r="138" spans="1:2">
      <c r="A138" t="s">
        <v>7309</v>
      </c>
      <c r="B138" t="s">
        <v>275</v>
      </c>
    </row>
    <row r="139" spans="1:2">
      <c r="A139" t="s">
        <v>7310</v>
      </c>
      <c r="B139" t="s">
        <v>275</v>
      </c>
    </row>
    <row r="140" spans="1:2">
      <c r="A140" t="s">
        <v>7311</v>
      </c>
      <c r="B140" t="s">
        <v>275</v>
      </c>
    </row>
    <row r="141" spans="1:2">
      <c r="A141" t="s">
        <v>7326</v>
      </c>
      <c r="B141" t="s">
        <v>275</v>
      </c>
    </row>
    <row r="142" spans="1:2">
      <c r="A142" t="s">
        <v>7327</v>
      </c>
      <c r="B142" t="s">
        <v>275</v>
      </c>
    </row>
    <row r="143" spans="1:2">
      <c r="A143" t="s">
        <v>7328</v>
      </c>
      <c r="B143" t="s">
        <v>275</v>
      </c>
    </row>
    <row r="144" spans="1:2">
      <c r="A144" t="s">
        <v>7329</v>
      </c>
      <c r="B144" t="s">
        <v>275</v>
      </c>
    </row>
    <row r="145" spans="1:2">
      <c r="A145" t="s">
        <v>7330</v>
      </c>
      <c r="B145" t="s">
        <v>275</v>
      </c>
    </row>
    <row r="146" spans="1:2">
      <c r="A146" t="s">
        <v>7331</v>
      </c>
      <c r="B146" t="s">
        <v>275</v>
      </c>
    </row>
    <row r="147" spans="1:2">
      <c r="A147" t="s">
        <v>7346</v>
      </c>
      <c r="B147" t="s">
        <v>275</v>
      </c>
    </row>
    <row r="148" spans="1:2">
      <c r="A148" t="s">
        <v>7347</v>
      </c>
      <c r="B148" t="s">
        <v>275</v>
      </c>
    </row>
    <row r="149" spans="1:2">
      <c r="A149" t="s">
        <v>7348</v>
      </c>
      <c r="B149" t="s">
        <v>275</v>
      </c>
    </row>
    <row r="150" spans="1:2">
      <c r="A150" t="s">
        <v>7349</v>
      </c>
      <c r="B150" t="s">
        <v>275</v>
      </c>
    </row>
    <row r="151" spans="1:2">
      <c r="A151" t="s">
        <v>7350</v>
      </c>
      <c r="B151" t="s">
        <v>275</v>
      </c>
    </row>
    <row r="152" spans="1:2">
      <c r="A152" t="s">
        <v>7351</v>
      </c>
      <c r="B152" t="s">
        <v>275</v>
      </c>
    </row>
    <row r="153" spans="1:2">
      <c r="A153" t="s">
        <v>7366</v>
      </c>
      <c r="B153" t="s">
        <v>275</v>
      </c>
    </row>
    <row r="154" spans="1:2">
      <c r="A154" t="s">
        <v>7367</v>
      </c>
      <c r="B154" t="s">
        <v>275</v>
      </c>
    </row>
    <row r="155" spans="1:2">
      <c r="A155" t="s">
        <v>7368</v>
      </c>
      <c r="B155" t="s">
        <v>275</v>
      </c>
    </row>
    <row r="156" spans="1:2">
      <c r="A156" t="s">
        <v>7369</v>
      </c>
      <c r="B156" t="s">
        <v>275</v>
      </c>
    </row>
    <row r="157" spans="1:2">
      <c r="A157" t="s">
        <v>7370</v>
      </c>
      <c r="B157" t="s">
        <v>275</v>
      </c>
    </row>
    <row r="158" spans="1:2">
      <c r="A158" t="s">
        <v>7371</v>
      </c>
      <c r="B158" t="s">
        <v>275</v>
      </c>
    </row>
    <row r="159" spans="1:2">
      <c r="A159" t="s">
        <v>7386</v>
      </c>
      <c r="B159" t="s">
        <v>275</v>
      </c>
    </row>
    <row r="160" spans="1:2">
      <c r="A160" t="s">
        <v>7387</v>
      </c>
      <c r="B160" t="s">
        <v>275</v>
      </c>
    </row>
    <row r="161" spans="1:2">
      <c r="A161" t="s">
        <v>7388</v>
      </c>
      <c r="B161" t="s">
        <v>275</v>
      </c>
    </row>
    <row r="162" spans="1:2">
      <c r="A162" t="s">
        <v>7389</v>
      </c>
      <c r="B162" t="s">
        <v>275</v>
      </c>
    </row>
    <row r="163" spans="1:2">
      <c r="A163" t="s">
        <v>7390</v>
      </c>
      <c r="B163" t="s">
        <v>275</v>
      </c>
    </row>
    <row r="164" spans="1:2">
      <c r="A164" t="s">
        <v>7391</v>
      </c>
      <c r="B164" t="s">
        <v>275</v>
      </c>
    </row>
    <row r="165" spans="1:2">
      <c r="A165" t="s">
        <v>7406</v>
      </c>
      <c r="B165" t="s">
        <v>275</v>
      </c>
    </row>
    <row r="166" spans="1:2">
      <c r="A166" t="s">
        <v>7407</v>
      </c>
      <c r="B166" t="s">
        <v>275</v>
      </c>
    </row>
    <row r="167" spans="1:2">
      <c r="A167" t="s">
        <v>7408</v>
      </c>
      <c r="B167" t="s">
        <v>275</v>
      </c>
    </row>
    <row r="168" spans="1:2">
      <c r="A168" t="s">
        <v>7409</v>
      </c>
      <c r="B168" t="s">
        <v>275</v>
      </c>
    </row>
    <row r="169" spans="1:2">
      <c r="A169" t="s">
        <v>7410</v>
      </c>
      <c r="B169" t="s">
        <v>275</v>
      </c>
    </row>
    <row r="170" spans="1:2">
      <c r="A170" t="s">
        <v>7411</v>
      </c>
      <c r="B170" t="s">
        <v>275</v>
      </c>
    </row>
    <row r="171" spans="1:2">
      <c r="A171" t="s">
        <v>7426</v>
      </c>
      <c r="B171" t="s">
        <v>275</v>
      </c>
    </row>
    <row r="172" spans="1:2">
      <c r="A172" t="s">
        <v>7427</v>
      </c>
      <c r="B172" t="s">
        <v>275</v>
      </c>
    </row>
    <row r="173" spans="1:2">
      <c r="A173" t="s">
        <v>7428</v>
      </c>
      <c r="B173" t="s">
        <v>275</v>
      </c>
    </row>
    <row r="174" spans="1:2">
      <c r="A174" t="s">
        <v>7429</v>
      </c>
      <c r="B174" t="s">
        <v>275</v>
      </c>
    </row>
    <row r="175" spans="1:2">
      <c r="A175" t="s">
        <v>7430</v>
      </c>
      <c r="B175" t="s">
        <v>275</v>
      </c>
    </row>
    <row r="176" spans="1:2">
      <c r="A176" t="s">
        <v>7431</v>
      </c>
      <c r="B176" t="s">
        <v>275</v>
      </c>
    </row>
    <row r="177" spans="1:2">
      <c r="A177" t="s">
        <v>7446</v>
      </c>
      <c r="B177" t="s">
        <v>275</v>
      </c>
    </row>
    <row r="178" spans="1:2">
      <c r="A178" t="s">
        <v>7447</v>
      </c>
      <c r="B178" t="s">
        <v>275</v>
      </c>
    </row>
    <row r="179" spans="1:2">
      <c r="A179" t="s">
        <v>7448</v>
      </c>
      <c r="B179" t="s">
        <v>275</v>
      </c>
    </row>
    <row r="180" spans="1:2">
      <c r="A180" t="s">
        <v>7449</v>
      </c>
      <c r="B180" t="s">
        <v>275</v>
      </c>
    </row>
    <row r="181" spans="1:2">
      <c r="A181" t="s">
        <v>7450</v>
      </c>
      <c r="B181" t="s">
        <v>275</v>
      </c>
    </row>
    <row r="182" spans="1:2">
      <c r="A182" t="s">
        <v>7451</v>
      </c>
      <c r="B182" t="s">
        <v>275</v>
      </c>
    </row>
    <row r="183" spans="1:2">
      <c r="A183" t="s">
        <v>7466</v>
      </c>
      <c r="B183" t="s">
        <v>275</v>
      </c>
    </row>
    <row r="184" spans="1:2">
      <c r="A184" t="s">
        <v>7467</v>
      </c>
      <c r="B184" t="s">
        <v>275</v>
      </c>
    </row>
    <row r="185" spans="1:2">
      <c r="A185" t="s">
        <v>7468</v>
      </c>
      <c r="B185" t="s">
        <v>275</v>
      </c>
    </row>
    <row r="186" spans="1:2">
      <c r="A186" t="s">
        <v>7469</v>
      </c>
      <c r="B186" t="s">
        <v>275</v>
      </c>
    </row>
    <row r="187" spans="1:2">
      <c r="A187" t="s">
        <v>7470</v>
      </c>
      <c r="B187" t="s">
        <v>275</v>
      </c>
    </row>
    <row r="188" spans="1:2">
      <c r="A188" t="s">
        <v>7471</v>
      </c>
      <c r="B188" t="s">
        <v>275</v>
      </c>
    </row>
    <row r="189" spans="1:2">
      <c r="A189" t="s">
        <v>7486</v>
      </c>
      <c r="B189" t="s">
        <v>275</v>
      </c>
    </row>
    <row r="190" spans="1:2">
      <c r="A190" t="s">
        <v>7487</v>
      </c>
      <c r="B190" t="s">
        <v>275</v>
      </c>
    </row>
    <row r="191" spans="1:2">
      <c r="A191" t="s">
        <v>7488</v>
      </c>
      <c r="B191" t="s">
        <v>275</v>
      </c>
    </row>
    <row r="192" spans="1:2">
      <c r="A192" t="s">
        <v>7489</v>
      </c>
      <c r="B192" t="s">
        <v>275</v>
      </c>
    </row>
    <row r="193" spans="1:2">
      <c r="A193" t="s">
        <v>7490</v>
      </c>
      <c r="B193" t="s">
        <v>275</v>
      </c>
    </row>
    <row r="194" spans="1:2">
      <c r="A194" t="s">
        <v>7491</v>
      </c>
      <c r="B194" t="s">
        <v>275</v>
      </c>
    </row>
    <row r="195" spans="1:2">
      <c r="A195" t="s">
        <v>7506</v>
      </c>
      <c r="B195" t="s">
        <v>275</v>
      </c>
    </row>
    <row r="196" spans="1:2">
      <c r="A196" t="s">
        <v>7507</v>
      </c>
      <c r="B196" t="s">
        <v>275</v>
      </c>
    </row>
    <row r="197" spans="1:2">
      <c r="A197" t="s">
        <v>7508</v>
      </c>
      <c r="B197" t="s">
        <v>275</v>
      </c>
    </row>
    <row r="198" spans="1:2">
      <c r="A198" t="s">
        <v>7509</v>
      </c>
      <c r="B198" t="s">
        <v>275</v>
      </c>
    </row>
    <row r="199" spans="1:2">
      <c r="A199" t="s">
        <v>7510</v>
      </c>
      <c r="B199" t="s">
        <v>275</v>
      </c>
    </row>
    <row r="200" spans="1:2">
      <c r="A200" t="s">
        <v>7511</v>
      </c>
      <c r="B200" t="s">
        <v>275</v>
      </c>
    </row>
    <row r="201" spans="1:2">
      <c r="A201" t="s">
        <v>7526</v>
      </c>
      <c r="B201" t="s">
        <v>275</v>
      </c>
    </row>
    <row r="202" spans="1:2">
      <c r="A202" t="s">
        <v>7527</v>
      </c>
      <c r="B202" t="s">
        <v>275</v>
      </c>
    </row>
    <row r="203" spans="1:2">
      <c r="A203" t="s">
        <v>7528</v>
      </c>
      <c r="B203" t="s">
        <v>275</v>
      </c>
    </row>
    <row r="204" spans="1:2">
      <c r="A204" t="s">
        <v>7529</v>
      </c>
      <c r="B204" t="s">
        <v>275</v>
      </c>
    </row>
    <row r="205" spans="1:2">
      <c r="A205" t="s">
        <v>7530</v>
      </c>
      <c r="B205" t="s">
        <v>275</v>
      </c>
    </row>
    <row r="206" spans="1:2">
      <c r="A206" t="s">
        <v>7531</v>
      </c>
      <c r="B206" t="s">
        <v>275</v>
      </c>
    </row>
    <row r="207" spans="1:2">
      <c r="A207" t="s">
        <v>7546</v>
      </c>
      <c r="B207" t="s">
        <v>275</v>
      </c>
    </row>
    <row r="208" spans="1:2">
      <c r="A208" t="s">
        <v>7547</v>
      </c>
      <c r="B208" t="s">
        <v>275</v>
      </c>
    </row>
    <row r="209" spans="1:2">
      <c r="A209" t="s">
        <v>7548</v>
      </c>
      <c r="B209" t="s">
        <v>275</v>
      </c>
    </row>
    <row r="210" spans="1:2">
      <c r="A210" t="s">
        <v>7549</v>
      </c>
      <c r="B210" t="s">
        <v>275</v>
      </c>
    </row>
    <row r="211" spans="1:2">
      <c r="A211" t="s">
        <v>7550</v>
      </c>
      <c r="B211" t="s">
        <v>275</v>
      </c>
    </row>
    <row r="212" spans="1:2">
      <c r="A212" t="s">
        <v>7551</v>
      </c>
      <c r="B212" t="s">
        <v>275</v>
      </c>
    </row>
    <row r="213" spans="1:2">
      <c r="A213" t="s">
        <v>7566</v>
      </c>
      <c r="B213" t="s">
        <v>275</v>
      </c>
    </row>
    <row r="214" spans="1:2">
      <c r="A214" t="s">
        <v>7567</v>
      </c>
      <c r="B214" t="s">
        <v>275</v>
      </c>
    </row>
    <row r="215" spans="1:2">
      <c r="A215" t="s">
        <v>7568</v>
      </c>
      <c r="B215" t="s">
        <v>275</v>
      </c>
    </row>
    <row r="216" spans="1:2">
      <c r="A216" t="s">
        <v>7569</v>
      </c>
      <c r="B216" t="s">
        <v>275</v>
      </c>
    </row>
    <row r="217" spans="1:2">
      <c r="A217" t="s">
        <v>7570</v>
      </c>
      <c r="B217" t="s">
        <v>275</v>
      </c>
    </row>
    <row r="218" spans="1:2">
      <c r="A218" t="s">
        <v>7571</v>
      </c>
      <c r="B218" t="s">
        <v>275</v>
      </c>
    </row>
    <row r="219" spans="1:2">
      <c r="A219" t="s">
        <v>6683</v>
      </c>
      <c r="B219" t="s">
        <v>275</v>
      </c>
    </row>
    <row r="220" spans="1:2">
      <c r="A220" t="s">
        <v>6691</v>
      </c>
      <c r="B220" t="s">
        <v>275</v>
      </c>
    </row>
    <row r="221" spans="1:2">
      <c r="A221" t="s">
        <v>9421</v>
      </c>
      <c r="B221" t="s">
        <v>6118</v>
      </c>
    </row>
    <row r="222" spans="1:2">
      <c r="A222" t="s">
        <v>6112</v>
      </c>
      <c r="B222" t="s">
        <v>6118</v>
      </c>
    </row>
    <row r="223" spans="1:2">
      <c r="A223" t="s">
        <v>9422</v>
      </c>
      <c r="B223" t="s">
        <v>9421</v>
      </c>
    </row>
    <row r="224" spans="1:2">
      <c r="A224" t="s">
        <v>9423</v>
      </c>
      <c r="B224" t="s">
        <v>9421</v>
      </c>
    </row>
    <row r="225" spans="1:2">
      <c r="A225" t="s">
        <v>4742</v>
      </c>
      <c r="B225" t="s">
        <v>9421</v>
      </c>
    </row>
    <row r="226" spans="1:2">
      <c r="A226" t="s">
        <v>9424</v>
      </c>
      <c r="B226" t="s">
        <v>9421</v>
      </c>
    </row>
    <row r="227" spans="1:2">
      <c r="A227" t="s">
        <v>6098</v>
      </c>
      <c r="B227" t="s">
        <v>9421</v>
      </c>
    </row>
    <row r="228" spans="1:2">
      <c r="A228" t="s">
        <v>9425</v>
      </c>
      <c r="B228" t="s">
        <v>9421</v>
      </c>
    </row>
    <row r="229" spans="1:2">
      <c r="A229" t="s">
        <v>9426</v>
      </c>
      <c r="B229" t="s">
        <v>9421</v>
      </c>
    </row>
    <row r="230" spans="1:2">
      <c r="A230" t="s">
        <v>9427</v>
      </c>
      <c r="B230" t="s">
        <v>9421</v>
      </c>
    </row>
    <row r="231" spans="1:2">
      <c r="A231" t="s">
        <v>9428</v>
      </c>
      <c r="B231" t="s">
        <v>9421</v>
      </c>
    </row>
    <row r="232" spans="1:2">
      <c r="A232" t="s">
        <v>6652</v>
      </c>
      <c r="B232" t="s">
        <v>9421</v>
      </c>
    </row>
    <row r="233" spans="1:2">
      <c r="A233" t="s">
        <v>9429</v>
      </c>
      <c r="B233" t="s">
        <v>275</v>
      </c>
    </row>
    <row r="234" spans="1:2">
      <c r="A234" t="s">
        <v>6682</v>
      </c>
      <c r="B234" t="s">
        <v>275</v>
      </c>
    </row>
    <row r="235" spans="1:2">
      <c r="A235" t="s">
        <v>6683</v>
      </c>
      <c r="B235" t="s">
        <v>275</v>
      </c>
    </row>
    <row r="236" spans="1:2">
      <c r="A236" t="s">
        <v>9430</v>
      </c>
      <c r="B236" t="s">
        <v>275</v>
      </c>
    </row>
    <row r="237" spans="1:2">
      <c r="A237" t="s">
        <v>9431</v>
      </c>
      <c r="B237" t="s">
        <v>275</v>
      </c>
    </row>
    <row r="238" spans="1:2">
      <c r="A238" t="s">
        <v>7816</v>
      </c>
      <c r="B238" t="s">
        <v>7817</v>
      </c>
    </row>
    <row r="239" spans="1:2">
      <c r="A239" t="s">
        <v>9434</v>
      </c>
      <c r="B239" t="s">
        <v>7814</v>
      </c>
    </row>
    <row r="240" spans="1:2">
      <c r="A240" t="s">
        <v>9436</v>
      </c>
      <c r="B240" t="s">
        <v>7815</v>
      </c>
    </row>
    <row r="241" spans="1:2">
      <c r="A241" t="s">
        <v>9437</v>
      </c>
      <c r="B241" t="s">
        <v>7814</v>
      </c>
    </row>
    <row r="242" spans="1:2">
      <c r="A242" t="s">
        <v>9516</v>
      </c>
      <c r="B242" t="s">
        <v>5725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J20" sqref="J20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Okey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2026-03-19T19:41:08Z</dcterms:modified>
</cp:coreProperties>
</file>