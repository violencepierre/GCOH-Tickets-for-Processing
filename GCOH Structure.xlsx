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12C823CF-616E-4F8F-94BA-0614AE55E6CC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STUCT1" sheetId="1" r:id="rId2"/>
    <sheet name="Sheet2" sheetId="19" r:id="rId3"/>
    <sheet name="Sheet1" sheetId="18" r:id="rId4"/>
    <sheet name="Names" sheetId="5" r:id="rId5"/>
    <sheet name="NEW NODES" sheetId="6" r:id="rId6"/>
    <sheet name="People" sheetId="7" r:id="rId7"/>
    <sheet name="2023" sheetId="8" r:id="rId8"/>
    <sheet name="Sectors" sheetId="9" r:id="rId9"/>
    <sheet name="Okey" sheetId="10" r:id="rId10"/>
    <sheet name="KPI" sheetId="12" r:id="rId11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1">STUCT1!#REF!</definedName>
  </definedNames>
  <calcPr calcId="181029"/>
  <pivotCaches>
    <pivotCache cacheId="1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322" i="1" l="1"/>
  <c r="H1321" i="1"/>
  <c r="H1317" i="1"/>
  <c r="H1318" i="1"/>
  <c r="H1319" i="1"/>
  <c r="H1320" i="1"/>
  <c r="H1316" i="1"/>
  <c r="J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</calcChain>
</file>

<file path=xl/sharedStrings.xml><?xml version="1.0" encoding="utf-8"?>
<sst xmlns="http://schemas.openxmlformats.org/spreadsheetml/2006/main" count="36571" uniqueCount="6656">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</sst>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4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5" applyNumberFormat="0" applyFont="0" applyAlignment="0" applyProtection="0"/>
    <xf numFmtId="0" fontId="12" fillId="0" borderId="1"/>
    <xf numFmtId="0" fontId="12" fillId="0" borderId="1"/>
  </cellStyleXfs>
  <cellXfs count="6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  <xf numFmtId="0" fontId="12" fillId="0" borderId="1" xfId="79"/>
    <xf numFmtId="0" fontId="12" fillId="0" borderId="1" xfId="82"/>
    <xf numFmtId="0" fontId="12" fillId="0" borderId="1" xfId="83"/>
  </cellXfs>
  <cellStyles count="84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322" totalsRowShown="0">
  <autoFilter ref="A1:M1322" xr:uid="{00000000-000C-0000-FFFF-FFFF00000000}">
    <filterColumn colId="6">
      <filters>
        <filter val="Move"/>
      </filters>
    </filterColumn>
    <filterColumn colId="7">
      <filters blank="1"/>
    </filterColumn>
    <filterColumn colId="9">
      <filters blank="1"/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322"/>
  <sheetViews>
    <sheetView workbookViewId="0">
      <selection activeCell="G1" sqref="G1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hidden="1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hidden="1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hidden="1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hidden="1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hidden="1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hidden="1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hidden="1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hidden="1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hidden="1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hidden="1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hidden="1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hidden="1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hidden="1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hidden="1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hidden="1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hidden="1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hidden="1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hidden="1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hidden="1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hidden="1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hidden="1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hidden="1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hidden="1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hidden="1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hidden="1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hidden="1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hidden="1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hidden="1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hidden="1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hidden="1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hidden="1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hidden="1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hidden="1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hidden="1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hidden="1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hidden="1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hidden="1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hidden="1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hidden="1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hidden="1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hidden="1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hidden="1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hidden="1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hidden="1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hidden="1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hidden="1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hidden="1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hidden="1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hidden="1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hidden="1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hidden="1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hidden="1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hidden="1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hidden="1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hidden="1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hidden="1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hidden="1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hidden="1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hidden="1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hidden="1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hidden="1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hidden="1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hidden="1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hidden="1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hidden="1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hidden="1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hidden="1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hidden="1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hidden="1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hidden="1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hidden="1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hidden="1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hidden="1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hidden="1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hidden="1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hidden="1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hidden="1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hidden="1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hidden="1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hidden="1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hidden="1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hidden="1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hidden="1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hidden="1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hidden="1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hidden="1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hidden="1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hidden="1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hidden="1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hidden="1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hidden="1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hidden="1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hidden="1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hidden="1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hidden="1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hidden="1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hidden="1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hidden="1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hidden="1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hidden="1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hidden="1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hidden="1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hidden="1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hidden="1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hidden="1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hidden="1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hidden="1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hidden="1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hidden="1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hidden="1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hidden="1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hidden="1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hidden="1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hidden="1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hidden="1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hidden="1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hidden="1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hidden="1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hidden="1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hidden="1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hidden="1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hidden="1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hidden="1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hidden="1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hidden="1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hidden="1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hidden="1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hidden="1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hidden="1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hidden="1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hidden="1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hidden="1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hidden="1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hidden="1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hidden="1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hidden="1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hidden="1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hidden="1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hidden="1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hidden="1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hidden="1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hidden="1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hidden="1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hidden="1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hidden="1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hidden="1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hidden="1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hidden="1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hidden="1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hidden="1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hidden="1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hidden="1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hidden="1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hidden="1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hidden="1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hidden="1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hidden="1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hidden="1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hidden="1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hidden="1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hidden="1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hidden="1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hidden="1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hidden="1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hidden="1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hidden="1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hidden="1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hidden="1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hidden="1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hidden="1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hidden="1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hidden="1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hidden="1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hidden="1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hidden="1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hidden="1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hidden="1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hidden="1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hidden="1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hidden="1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hidden="1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hidden="1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hidden="1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hidden="1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hidden="1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hidden="1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hidden="1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hidden="1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hidden="1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hidden="1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hidden="1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hidden="1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hidden="1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hidden="1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hidden="1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hidden="1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hidden="1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hidden="1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hidden="1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hidden="1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hidden="1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hidden="1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hidden="1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hidden="1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hidden="1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hidden="1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hidden="1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hidden="1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hidden="1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hidden="1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hidden="1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hidden="1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hidden="1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hidden="1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hidden="1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hidden="1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hidden="1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hidden="1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hidden="1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hidden="1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hidden="1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hidden="1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hidden="1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hidden="1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hidden="1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hidden="1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hidden="1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hidden="1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hidden="1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hidden="1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hidden="1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hidden="1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hidden="1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hidden="1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hidden="1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hidden="1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hidden="1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hidden="1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hidden="1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hidden="1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hidden="1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hidden="1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hidden="1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hidden="1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hidden="1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hidden="1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hidden="1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hidden="1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hidden="1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hidden="1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hidden="1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hidden="1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hidden="1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hidden="1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hidden="1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hidden="1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hidden="1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hidden="1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hidden="1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hidden="1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hidden="1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hidden="1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hidden="1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hidden="1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hidden="1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hidden="1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hidden="1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hidden="1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hidden="1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hidden="1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hidden="1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hidden="1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hidden="1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hidden="1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hidden="1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hidden="1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hidden="1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hidden="1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hidden="1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hidden="1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hidden="1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hidden="1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hidden="1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hidden="1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hidden="1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hidden="1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hidden="1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hidden="1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hidden="1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hidden="1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hidden="1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hidden="1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hidden="1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hidden="1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hidden="1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hidden="1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hidden="1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hidden="1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hidden="1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hidden="1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hidden="1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hidden="1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hidden="1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hidden="1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hidden="1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hidden="1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hidden="1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hidden="1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hidden="1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hidden="1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hidden="1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hidden="1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hidden="1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hidden="1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hidden="1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hidden="1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hidden="1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hidden="1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hidden="1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hidden="1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hidden="1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hidden="1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hidden="1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hidden="1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hidden="1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hidden="1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hidden="1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hidden="1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hidden="1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hidden="1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hidden="1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hidden="1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hidden="1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hidden="1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hidden="1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hidden="1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hidden="1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hidden="1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hidden="1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hidden="1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hidden="1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hidden="1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hidden="1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hidden="1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hidden="1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hidden="1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hidden="1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hidden="1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hidden="1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hidden="1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hidden="1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hidden="1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hidden="1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hidden="1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hidden="1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hidden="1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hidden="1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hidden="1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hidden="1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hidden="1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hidden="1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hidden="1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hidden="1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hidden="1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hidden="1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hidden="1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hidden="1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hidden="1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hidden="1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hidden="1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hidden="1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hidden="1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hidden="1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hidden="1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hidden="1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hidden="1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hidden="1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hidden="1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hidden="1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hidden="1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hidden="1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hidden="1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hidden="1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hidden="1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hidden="1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hidden="1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hidden="1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hidden="1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hidden="1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hidden="1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hidden="1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hidden="1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hidden="1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hidden="1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hidden="1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hidden="1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hidden="1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hidden="1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hidden="1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hidden="1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hidden="1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hidden="1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hidden="1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hidden="1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hidden="1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hidden="1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hidden="1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hidden="1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hidden="1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hidden="1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hidden="1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hidden="1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hidden="1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hidden="1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hidden="1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hidden="1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hidden="1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hidden="1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hidden="1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hidden="1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hidden="1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hidden="1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hidden="1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hidden="1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hidden="1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hidden="1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hidden="1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hidden="1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hidden="1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hidden="1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hidden="1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hidden="1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hidden="1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hidden="1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hidden="1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hidden="1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hidden="1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hidden="1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hidden="1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hidden="1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hidden="1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hidden="1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hidden="1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hidden="1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hidden="1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hidden="1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hidden="1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hidden="1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hidden="1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hidden="1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hidden="1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hidden="1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hidden="1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hidden="1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hidden="1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hidden="1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hidden="1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hidden="1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hidden="1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hidden="1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hidden="1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hidden="1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hidden="1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hidden="1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hidden="1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hidden="1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hidden="1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hidden="1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hidden="1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hidden="1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hidden="1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hidden="1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hidden="1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hidden="1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hidden="1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hidden="1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hidden="1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hidden="1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hidden="1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hidden="1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hidden="1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hidden="1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hidden="1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hidden="1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hidden="1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hidden="1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hidden="1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hidden="1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hidden="1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hidden="1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hidden="1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hidden="1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hidden="1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hidden="1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hidden="1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hidden="1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hidden="1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hidden="1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hidden="1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hidden="1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hidden="1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hidden="1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hidden="1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hidden="1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hidden="1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hidden="1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hidden="1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hidden="1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hidden="1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hidden="1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hidden="1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hidden="1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hidden="1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hidden="1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hidden="1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hidden="1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hidden="1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hidden="1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hidden="1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hidden="1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hidden="1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hidden="1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hidden="1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hidden="1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hidden="1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hidden="1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hidden="1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hidden="1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hidden="1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hidden="1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hidden="1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hidden="1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hidden="1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hidden="1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hidden="1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hidden="1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hidden="1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hidden="1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hidden="1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hidden="1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hidden="1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hidden="1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hidden="1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hidden="1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hidden="1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hidden="1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hidden="1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hidden="1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hidden="1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hidden="1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hidden="1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hidden="1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hidden="1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hidden="1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hidden="1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hidden="1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hidden="1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hidden="1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hidden="1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hidden="1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hidden="1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hidden="1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hidden="1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hidden="1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hidden="1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hidden="1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hidden="1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hidden="1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hidden="1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hidden="1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hidden="1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hidden="1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hidden="1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hidden="1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hidden="1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hidden="1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hidden="1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hidden="1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hidden="1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hidden="1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hidden="1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hidden="1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hidden="1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hidden="1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hidden="1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hidden="1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hidden="1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hidden="1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hidden="1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hidden="1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hidden="1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hidden="1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hidden="1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hidden="1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hidden="1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hidden="1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hidden="1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hidden="1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hidden="1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hidden="1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hidden="1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hidden="1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hidden="1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hidden="1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hidden="1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hidden="1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hidden="1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hidden="1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hidden="1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hidden="1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hidden="1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hidden="1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hidden="1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hidden="1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hidden="1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hidden="1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hidden="1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hidden="1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hidden="1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hidden="1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hidden="1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hidden="1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hidden="1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hidden="1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hidden="1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hidden="1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hidden="1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hidden="1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hidden="1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hidden="1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hidden="1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hidden="1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hidden="1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hidden="1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hidden="1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hidden="1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hidden="1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hidden="1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hidden="1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hidden="1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hidden="1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hidden="1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hidden="1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hidden="1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hidden="1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hidden="1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hidden="1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hidden="1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hidden="1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hidden="1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hidden="1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hidden="1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hidden="1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hidden="1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hidden="1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hidden="1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hidden="1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hidden="1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hidden="1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hidden="1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hidden="1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hidden="1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hidden="1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hidden="1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hidden="1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hidden="1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hidden="1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hidden="1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hidden="1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hidden="1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hidden="1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hidden="1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hidden="1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hidden="1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hidden="1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hidden="1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hidden="1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hidden="1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hidden="1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hidden="1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hidden="1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hidden="1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hidden="1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hidden="1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hidden="1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hidden="1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hidden="1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hidden="1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hidden="1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hidden="1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hidden="1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hidden="1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hidden="1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hidden="1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hidden="1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hidden="1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hidden="1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hidden="1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hidden="1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hidden="1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hidden="1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hidden="1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hidden="1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hidden="1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hidden="1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hidden="1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hidden="1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hidden="1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hidden="1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hidden="1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hidden="1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hidden="1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hidden="1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hidden="1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hidden="1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hidden="1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hidden="1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hidden="1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hidden="1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hidden="1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hidden="1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hidden="1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hidden="1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hidden="1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hidden="1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hidden="1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hidden="1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hidden="1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hidden="1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hidden="1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hidden="1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hidden="1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hidden="1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hidden="1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hidden="1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hidden="1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hidden="1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hidden="1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hidden="1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hidden="1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hidden="1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hidden="1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hidden="1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hidden="1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hidden="1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hidden="1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hidden="1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hidden="1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hidden="1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hidden="1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hidden="1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hidden="1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hidden="1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hidden="1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hidden="1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hidden="1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hidden="1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hidden="1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hidden="1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hidden="1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hidden="1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hidden="1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hidden="1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hidden="1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hidden="1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hidden="1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hidden="1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hidden="1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hidden="1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hidden="1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hidden="1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hidden="1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hidden="1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hidden="1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hidden="1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hidden="1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hidden="1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hidden="1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hidden="1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hidden="1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hidden="1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hidden="1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hidden="1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hidden="1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hidden="1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hidden="1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hidden="1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hidden="1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hidden="1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hidden="1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hidden="1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hidden="1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hidden="1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hidden="1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hidden="1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hidden="1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hidden="1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hidden="1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hidden="1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hidden="1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hidden="1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hidden="1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hidden="1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hidden="1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hidden="1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hidden="1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hidden="1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hidden="1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hidden="1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hidden="1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hidden="1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hidden="1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hidden="1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hidden="1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hidden="1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hidden="1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hidden="1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hidden="1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hidden="1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hidden="1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hidden="1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hidden="1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hidden="1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hidden="1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hidden="1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hidden="1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hidden="1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hidden="1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hidden="1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hidden="1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hidden="1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hidden="1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hidden="1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hidden="1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hidden="1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hidden="1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hidden="1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hidden="1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hidden="1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hidden="1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hidden="1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hidden="1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hidden="1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hidden="1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hidden="1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hidden="1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hidden="1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hidden="1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hidden="1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hidden="1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hidden="1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hidden="1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hidden="1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hidden="1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hidden="1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hidden="1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hidden="1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hidden="1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hidden="1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hidden="1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hidden="1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hidden="1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hidden="1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hidden="1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hidden="1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hidden="1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hidden="1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hidden="1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hidden="1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hidden="1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hidden="1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hidden="1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hidden="1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hidden="1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hidden="1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hidden="1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hidden="1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hidden="1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hidden="1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hidden="1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hidden="1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hidden="1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hidden="1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hidden="1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hidden="1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hidden="1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hidden="1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hidden="1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hidden="1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hidden="1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hidden="1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hidden="1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hidden="1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hidden="1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hidden="1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hidden="1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hidden="1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hidden="1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hidden="1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hidden="1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hidden="1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hidden="1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hidden="1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hidden="1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hidden="1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hidden="1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hidden="1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hidden="1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hidden="1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hidden="1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hidden="1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hidden="1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hidden="1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hidden="1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hidden="1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hidden="1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hidden="1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hidden="1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hidden="1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hidden="1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hidden="1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hidden="1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hidden="1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hidden="1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hidden="1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hidden="1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hidden="1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hidden="1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hidden="1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hidden="1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hidden="1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hidden="1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hidden="1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hidden="1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hidden="1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hidden="1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hidden="1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hidden="1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hidden="1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hidden="1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hidden="1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hidden="1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hidden="1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hidden="1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hidden="1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hidden="1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hidden="1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hidden="1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hidden="1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hidden="1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hidden="1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hidden="1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hidden="1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hidden="1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hidden="1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hidden="1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hidden="1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hidden="1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hidden="1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hidden="1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hidden="1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hidden="1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hidden="1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hidden="1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hidden="1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hidden="1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hidden="1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hidden="1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hidden="1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hidden="1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hidden="1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hidden="1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hidden="1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hidden="1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hidden="1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hidden="1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hidden="1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hidden="1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hidden="1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hidden="1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hidden="1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hidden="1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hidden="1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hidden="1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hidden="1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hidden="1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hidden="1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hidden="1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hidden="1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hidden="1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hidden="1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hidden="1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hidden="1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hidden="1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hidden="1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hidden="1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hidden="1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hidden="1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hidden="1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hidden="1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hidden="1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hidden="1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hidden="1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hidden="1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hidden="1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hidden="1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hidden="1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hidden="1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hidden="1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hidden="1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hidden="1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hidden="1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hidden="1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hidden="1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hidden="1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hidden="1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hidden="1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hidden="1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hidden="1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hidden="1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hidden="1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hidden="1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hidden="1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hidden="1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hidden="1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hidden="1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hidden="1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hidden="1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hidden="1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hidden="1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hidden="1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hidden="1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hidden="1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hidden="1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hidden="1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hidden="1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hidden="1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hidden="1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hidden="1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hidden="1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hidden="1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hidden="1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hidden="1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hidden="1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hidden="1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hidden="1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hidden="1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hidden="1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hidden="1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hidden="1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hidden="1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hidden="1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hidden="1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hidden="1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hidden="1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hidden="1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hidden="1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hidden="1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hidden="1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hidden="1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hidden="1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hidden="1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hidden="1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hidden="1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hidden="1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hidden="1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hidden="1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hidden="1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hidden="1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hidden="1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hidden="1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hidden="1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hidden="1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hidden="1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hidden="1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hidden="1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hidden="1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hidden="1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hidden="1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hidden="1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hidden="1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hidden="1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hidden="1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hidden="1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hidden="1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hidden="1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hidden="1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hidden="1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hidden="1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hidden="1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hidden="1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hidden="1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hidden="1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hidden="1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hidden="1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hidden="1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hidden="1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hidden="1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hidden="1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hidden="1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hidden="1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hidden="1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hidden="1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hidden="1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hidden="1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hidden="1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hidden="1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hidden="1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hidden="1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hidden="1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hidden="1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hidden="1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hidden="1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hidden="1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hidden="1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hidden="1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hidden="1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hidden="1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hidden="1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hidden="1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hidden="1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hidden="1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hidden="1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hidden="1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hidden="1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hidden="1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hidden="1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hidden="1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hidden="1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hidden="1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hidden="1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hidden="1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hidden="1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hidden="1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hidden="1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hidden="1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hidden="1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hidden="1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hidden="1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hidden="1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hidden="1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hidden="1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hidden="1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hidden="1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hidden="1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hidden="1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hidden="1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hidden="1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hidden="1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hidden="1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hidden="1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hidden="1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hidden="1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hidden="1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hidden="1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hidden="1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hidden="1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hidden="1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hidden="1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hidden="1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hidden="1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hidden="1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hidden="1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hidden="1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hidden="1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hidden="1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hidden="1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hidden="1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hidden="1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hidden="1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hidden="1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hidden="1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hidden="1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hidden="1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hidden="1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hidden="1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hidden="1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hidden="1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hidden="1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hidden="1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hidden="1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hidden="1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hidden="1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hidden="1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hidden="1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hidden="1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hidden="1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hidden="1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hidden="1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hidden="1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hidden="1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hidden="1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hidden="1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hidden="1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hidden="1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hidden="1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hidden="1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hidden="1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hidden="1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hidden="1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hidden="1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hidden="1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hidden="1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hidden="1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hidden="1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hidden="1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hidden="1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hidden="1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hidden="1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hidden="1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hidden="1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hidden="1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hidden="1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hidden="1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hidden="1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hidden="1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hidden="1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hidden="1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hidden="1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hidden="1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hidden="1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hidden="1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hidden="1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hidden="1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hidden="1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hidden="1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hidden="1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hidden="1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hidden="1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hidden="1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hidden="1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hidden="1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hidden="1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hidden="1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hidden="1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hidden="1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hidden="1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hidden="1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hidden="1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hidden="1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hidden="1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hidden="1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hidden="1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hidden="1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hidden="1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hidden="1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hidden="1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hidden="1" x14ac:dyDescent="0.25">
      <c r="A1249" s="49">
        <f t="shared" ref="A1249:A1312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hidden="1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hidden="1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hidden="1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hidden="1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hidden="1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hidden="1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hidden="1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hidden="1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hidden="1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hidden="1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hidden="1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hidden="1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hidden="1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hidden="1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hidden="1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hidden="1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hidden="1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hidden="1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hidden="1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hidden="1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hidden="1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hidden="1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hidden="1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hidden="1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hidden="1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hidden="1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hidden="1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hidden="1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hidden="1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hidden="1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hidden="1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hidden="1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hidden="1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hidden="1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hidden="1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hidden="1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hidden="1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hidden="1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hidden="1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hidden="1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hidden="1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hidden="1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hidden="1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hidden="1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hidden="1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hidden="1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hidden="1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hidden="1" x14ac:dyDescent="0.25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hidden="1" x14ac:dyDescent="0.25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hidden="1" x14ac:dyDescent="0.25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hidden="1" x14ac:dyDescent="0.25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hidden="1" x14ac:dyDescent="0.25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hidden="1" x14ac:dyDescent="0.25">
      <c r="A1302" s="49">
        <f t="shared" si="20"/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hidden="1" x14ac:dyDescent="0.25">
      <c r="A1303" s="49">
        <f t="shared" si="20"/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hidden="1" x14ac:dyDescent="0.25">
      <c r="A1304" s="49">
        <f t="shared" si="20"/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hidden="1" x14ac:dyDescent="0.25">
      <c r="A1305" s="49">
        <f t="shared" si="20"/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hidden="1" x14ac:dyDescent="0.25">
      <c r="A1306" s="49">
        <f t="shared" si="20"/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hidden="1" x14ac:dyDescent="0.25">
      <c r="A1307" s="49">
        <f t="shared" si="20"/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hidden="1" x14ac:dyDescent="0.25">
      <c r="A1308" s="49">
        <f t="shared" si="20"/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hidden="1" x14ac:dyDescent="0.25">
      <c r="A1309" s="49">
        <f t="shared" si="20"/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hidden="1" x14ac:dyDescent="0.25">
      <c r="A1310" s="49">
        <f t="shared" si="20"/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hidden="1" x14ac:dyDescent="0.25">
      <c r="A1311" s="49">
        <f t="shared" si="20"/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hidden="1" x14ac:dyDescent="0.25">
      <c r="A1312" s="49">
        <f t="shared" si="20"/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hidden="1" x14ac:dyDescent="0.25">
      <c r="A1313" s="49">
        <f t="shared" ref="A1313:A1322" si="21"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hidden="1" x14ac:dyDescent="0.25">
      <c r="A1314" s="49">
        <f t="shared" si="21"/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  <row r="1315" spans="1:13" hidden="1" x14ac:dyDescent="0.25">
      <c r="A1315" s="49">
        <f t="shared" si="21"/>
        <v>1313</v>
      </c>
      <c r="B1315" s="36" t="s">
        <v>3295</v>
      </c>
      <c r="C1315" s="9" t="s">
        <v>6646</v>
      </c>
      <c r="D1315" s="57" t="s">
        <v>1155</v>
      </c>
      <c r="F1315" s="58" t="s">
        <v>1009</v>
      </c>
      <c r="G1315" s="9" t="s">
        <v>13</v>
      </c>
      <c r="H1315" s="36" t="str">
        <f>IFERROR(VLOOKUP(Table2[[#This Row], [Ticket]],Okey!A:B,2,0),"")</f>
        <v/>
      </c>
      <c r="J1315" s="36" t="str">
        <f>VLOOKUP(Table2[[#This Row], [Author]],People!A:B,2,0)</f>
        <v>HC</v>
      </c>
      <c r="M1315" s="36" t="s">
        <v>1613</v>
      </c>
    </row>
    <row r="1316" spans="1:13" hidden="1" x14ac:dyDescent="0.25">
      <c r="A1316" s="49">
        <f t="shared" si="21"/>
        <v>1314</v>
      </c>
      <c r="B1316" s="36" t="s">
        <v>3295</v>
      </c>
      <c r="C1316" s="9" t="s">
        <v>6647</v>
      </c>
      <c r="D1316" s="36" t="s">
        <v>6654</v>
      </c>
      <c r="E1316" s="9" t="s">
        <v>6648</v>
      </c>
      <c r="F1316" s="9" t="s">
        <v>5278</v>
      </c>
      <c r="G1316" s="36" t="s">
        <v>14</v>
      </c>
      <c r="H1316" s="36" t="str">
        <f>IFERROR(VLOOKUP(Table2[[#This Row], [Ticket]],Okey!A:B,2,0),"")</f>
        <v/>
      </c>
      <c r="M1316" s="36" t="s">
        <v>6356</v>
      </c>
    </row>
    <row r="1317" spans="1:13" hidden="1" x14ac:dyDescent="0.25">
      <c r="A1317" s="49">
        <f t="shared" si="21"/>
        <v>1315</v>
      </c>
      <c r="B1317" s="36" t="s">
        <v>3295</v>
      </c>
      <c r="C1317" s="36" t="s">
        <v>6647</v>
      </c>
      <c r="D1317" s="9" t="s">
        <v>6651</v>
      </c>
      <c r="E1317" s="9" t="s">
        <v>6648</v>
      </c>
      <c r="F1317" s="36" t="s">
        <v>6654</v>
      </c>
      <c r="G1317" s="36" t="s">
        <v>14</v>
      </c>
      <c r="H1317" s="36" t="str">
        <f>IFERROR(VLOOKUP(Table2[[#This Row], [Ticket]],Okey!A:B,2,0),"")</f>
        <v/>
      </c>
      <c r="M1317" s="36" t="s">
        <v>6356</v>
      </c>
    </row>
    <row r="1318" spans="1:13" hidden="1" x14ac:dyDescent="0.25">
      <c r="A1318" s="49">
        <f t="shared" si="21"/>
        <v>1316</v>
      </c>
      <c r="B1318" s="36" t="s">
        <v>3295</v>
      </c>
      <c r="C1318" s="36" t="s">
        <v>6647</v>
      </c>
      <c r="D1318" s="36" t="s">
        <v>6655</v>
      </c>
      <c r="E1318" s="9" t="s">
        <v>6649</v>
      </c>
      <c r="F1318" s="9" t="s">
        <v>5278</v>
      </c>
      <c r="G1318" s="36" t="s">
        <v>14</v>
      </c>
      <c r="H1318" s="36" t="str">
        <f>IFERROR(VLOOKUP(Table2[[#This Row], [Ticket]],Okey!A:B,2,0),"")</f>
        <v/>
      </c>
      <c r="M1318" s="36" t="s">
        <v>6356</v>
      </c>
    </row>
    <row r="1319" spans="1:13" hidden="1" x14ac:dyDescent="0.25">
      <c r="A1319" s="49">
        <f t="shared" si="21"/>
        <v>1317</v>
      </c>
      <c r="B1319" s="36" t="s">
        <v>3295</v>
      </c>
      <c r="C1319" s="36" t="s">
        <v>6647</v>
      </c>
      <c r="D1319" s="9" t="s">
        <v>6652</v>
      </c>
      <c r="E1319" s="9" t="s">
        <v>6649</v>
      </c>
      <c r="F1319" s="36" t="s">
        <v>6655</v>
      </c>
      <c r="G1319" s="36" t="s">
        <v>14</v>
      </c>
      <c r="H1319" s="36" t="str">
        <f>IFERROR(VLOOKUP(Table2[[#This Row], [Ticket]],Okey!A:B,2,0),"")</f>
        <v/>
      </c>
      <c r="M1319" s="36" t="s">
        <v>6356</v>
      </c>
    </row>
    <row r="1320" spans="1:13" hidden="1" x14ac:dyDescent="0.25">
      <c r="A1320" s="49">
        <f t="shared" si="21"/>
        <v>1318</v>
      </c>
      <c r="B1320" s="36" t="s">
        <v>3295</v>
      </c>
      <c r="C1320" s="36" t="s">
        <v>6647</v>
      </c>
      <c r="D1320" s="9" t="s">
        <v>6653</v>
      </c>
      <c r="E1320" s="9" t="s">
        <v>6650</v>
      </c>
      <c r="F1320" s="9" t="s">
        <v>5278</v>
      </c>
      <c r="G1320" s="36" t="s">
        <v>14</v>
      </c>
      <c r="H1320" s="36" t="str">
        <f>IFERROR(VLOOKUP(Table2[[#This Row], [Ticket]],Okey!A:B,2,0),"")</f>
        <v/>
      </c>
      <c r="M1320" s="36" t="s">
        <v>6356</v>
      </c>
    </row>
    <row r="1321" spans="1:13" hidden="1" x14ac:dyDescent="0.25">
      <c r="A1321" s="49">
        <f t="shared" si="21"/>
        <v>1319</v>
      </c>
      <c r="B1321" s="36" t="s">
        <v>3295</v>
      </c>
      <c r="C1321" s="36" t="s">
        <v>6647</v>
      </c>
      <c r="D1321" s="59" t="s">
        <v>5278</v>
      </c>
      <c r="E1321" s="9" t="s">
        <v>6650</v>
      </c>
      <c r="G1321" s="9" t="s">
        <v>15</v>
      </c>
      <c r="H1321" s="36" t="str">
        <f>IFERROR(VLOOKUP(Table2[[#This Row], [Ticket]],Okey!A:B,2,0),"")</f>
        <v/>
      </c>
      <c r="M1321" s="36" t="s">
        <v>6356</v>
      </c>
    </row>
    <row r="1322" spans="1:13" x14ac:dyDescent="0.25">
      <c r="A1322" s="49">
        <f t="shared" si="21"/>
        <v>1320</v>
      </c>
      <c r="B1322" s="36" t="s">
        <v>3295</v>
      </c>
      <c r="C1322" s="36" t="s">
        <v>6647</v>
      </c>
      <c r="D1322" s="9" t="s">
        <v>6606</v>
      </c>
      <c r="E1322" s="9" t="s">
        <v>5787</v>
      </c>
      <c r="G1322" s="36" t="s">
        <v>13</v>
      </c>
      <c r="H1322" s="36" t="str">
        <f>IFERROR(VLOOKUP(Table2[[#This Row], [Ticket]],Okey!A:B,2,0),"")</f>
        <v/>
      </c>
      <c r="M1322" s="36" t="s">
        <v>6356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E237-1BE5-4931-9279-5BAA3AC7505D}">
  <dimension ref="A1:K23"/>
  <sheetViews>
    <sheetView tabSelected="1" workbookViewId="0">
      <selection activeCell="I2" sqref="I2"/>
    </sheetView>
  </sheetViews>
  <sheetFormatPr defaultRowHeight="15" x14ac:dyDescent="0.25"/>
  <cols>
    <col min="1" max="1" width="11.28515625" bestFit="1" customWidth="1"/>
    <col min="2" max="2" width="31.28515625" bestFit="1" customWidth="1"/>
    <col min="3" max="7" width="2.140625" bestFit="1" customWidth="1"/>
  </cols>
  <sheetData>
    <row r="1" spans="1:11" x14ac:dyDescent="0.25">
      <c r="A1">
        <v>1000</v>
      </c>
      <c r="I1" t="s">
        <v>4800</v>
      </c>
    </row>
    <row r="2" spans="1:11" x14ac:dyDescent="0.25">
      <c r="A2" t="s">
        <v>6654</v>
      </c>
      <c r="B2" t="s">
        <v>6648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6654</v>
      </c>
      <c r="J2" t="s">
        <v>6648</v>
      </c>
      <c r="K2" t="s">
        <v>4938</v>
      </c>
    </row>
    <row r="3" spans="1:11" x14ac:dyDescent="0.25">
      <c r="A3" t="s">
        <v>6651</v>
      </c>
      <c r="B3" t="s">
        <v>6648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6651</v>
      </c>
      <c r="J3" t="s">
        <v>6648</v>
      </c>
      <c r="K3" t="s">
        <v>4938</v>
      </c>
    </row>
    <row r="4" spans="1:11" x14ac:dyDescent="0.25">
      <c r="A4" t="s">
        <v>6655</v>
      </c>
      <c r="B4" t="s">
        <v>6649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6655</v>
      </c>
      <c r="J4" t="s">
        <v>6649</v>
      </c>
      <c r="K4" t="s">
        <v>4938</v>
      </c>
    </row>
    <row r="5" spans="1:11" x14ac:dyDescent="0.25">
      <c r="A5" t="s">
        <v>6652</v>
      </c>
      <c r="B5" t="s">
        <v>6649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6652</v>
      </c>
      <c r="J5" t="s">
        <v>6649</v>
      </c>
      <c r="K5" t="s">
        <v>4938</v>
      </c>
    </row>
    <row r="6" spans="1:11" x14ac:dyDescent="0.25">
      <c r="A6" t="s">
        <v>6653</v>
      </c>
      <c r="B6" t="s">
        <v>6650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6653</v>
      </c>
      <c r="J6" t="s">
        <v>6650</v>
      </c>
      <c r="K6" t="s">
        <v>4938</v>
      </c>
    </row>
    <row r="7" spans="1:11" x14ac:dyDescent="0.25">
      <c r="A7" t="s">
        <v>5278</v>
      </c>
      <c r="B7" t="s">
        <v>6650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5278</v>
      </c>
      <c r="J7" t="s">
        <v>6650</v>
      </c>
      <c r="K7" t="s">
        <v>4938</v>
      </c>
    </row>
    <row r="10" spans="1:11" x14ac:dyDescent="0.25">
      <c r="A10">
        <v>1000</v>
      </c>
    </row>
    <row r="11" spans="1:11" x14ac:dyDescent="0.25">
      <c r="A11" t="s">
        <v>5278</v>
      </c>
      <c r="B11" t="s">
        <v>6654</v>
      </c>
    </row>
    <row r="12" spans="1:11" x14ac:dyDescent="0.25">
      <c r="A12" t="s">
        <v>6654</v>
      </c>
      <c r="B12" t="s">
        <v>6651</v>
      </c>
    </row>
    <row r="13" spans="1:11" x14ac:dyDescent="0.25">
      <c r="A13" t="s">
        <v>5278</v>
      </c>
      <c r="B13" t="s">
        <v>6655</v>
      </c>
    </row>
    <row r="14" spans="1:11" x14ac:dyDescent="0.25">
      <c r="A14" t="s">
        <v>6655</v>
      </c>
      <c r="B14" t="s">
        <v>6652</v>
      </c>
    </row>
    <row r="15" spans="1:11" x14ac:dyDescent="0.25">
      <c r="A15" t="s">
        <v>5278</v>
      </c>
      <c r="B15" t="s">
        <v>6653</v>
      </c>
    </row>
    <row r="18" spans="1:2" x14ac:dyDescent="0.25">
      <c r="A18" t="s">
        <v>4800</v>
      </c>
    </row>
    <row r="19" spans="1:2" x14ac:dyDescent="0.25">
      <c r="A19" t="s">
        <v>5278</v>
      </c>
      <c r="B19" t="s">
        <v>6654</v>
      </c>
    </row>
    <row r="20" spans="1:2" x14ac:dyDescent="0.25">
      <c r="A20" t="s">
        <v>6654</v>
      </c>
      <c r="B20" t="s">
        <v>6651</v>
      </c>
    </row>
    <row r="21" spans="1:2" x14ac:dyDescent="0.25">
      <c r="A21" t="s">
        <v>5278</v>
      </c>
      <c r="B21" t="s">
        <v>6655</v>
      </c>
    </row>
    <row r="22" spans="1:2" x14ac:dyDescent="0.25">
      <c r="A22" t="s">
        <v>6655</v>
      </c>
      <c r="B22" t="s">
        <v>6652</v>
      </c>
    </row>
    <row r="23" spans="1:2" x14ac:dyDescent="0.25">
      <c r="A23" t="s">
        <v>5278</v>
      </c>
      <c r="B23" t="s">
        <v>6653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5" x14ac:dyDescent="0.25"/>
  <cols>
    <col min="1" max="1" width="19" customWidth="1"/>
    <col min="2" max="2" width="35.5703125" bestFit="1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  <row r="38" spans="1:8" x14ac:dyDescent="0.25">
      <c r="B38" t="s">
        <v>6644</v>
      </c>
    </row>
    <row r="39" spans="1:8" x14ac:dyDescent="0.25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25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25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25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25">
      <c r="B43" t="s">
        <v>6640</v>
      </c>
      <c r="C43" t="s">
        <v>6585</v>
      </c>
      <c r="D43" t="s">
        <v>4938</v>
      </c>
    </row>
    <row r="44" spans="1:8" x14ac:dyDescent="0.25">
      <c r="B44" t="s">
        <v>6641</v>
      </c>
      <c r="C44" t="s">
        <v>6587</v>
      </c>
      <c r="D44" t="s">
        <v>4938</v>
      </c>
    </row>
    <row r="45" spans="1:8" x14ac:dyDescent="0.25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25">
      <c r="B46" t="s">
        <v>6643</v>
      </c>
      <c r="C46" t="s">
        <v>6591</v>
      </c>
      <c r="D46" t="s">
        <v>4938</v>
      </c>
    </row>
    <row r="48" spans="1:8" x14ac:dyDescent="0.25">
      <c r="E48" t="s">
        <v>4800</v>
      </c>
    </row>
    <row r="49" spans="1:7" x14ac:dyDescent="0.25">
      <c r="E49" s="55" t="s">
        <v>6586</v>
      </c>
      <c r="F49" t="s">
        <v>6585</v>
      </c>
      <c r="G49" t="s">
        <v>4938</v>
      </c>
    </row>
    <row r="50" spans="1:7" x14ac:dyDescent="0.25">
      <c r="E50" s="55" t="s">
        <v>6588</v>
      </c>
      <c r="F50" t="s">
        <v>6587</v>
      </c>
      <c r="G50" t="s">
        <v>4938</v>
      </c>
    </row>
    <row r="51" spans="1:7" x14ac:dyDescent="0.25">
      <c r="E51" s="55" t="s">
        <v>6590</v>
      </c>
      <c r="F51" t="s">
        <v>6589</v>
      </c>
      <c r="G51" t="s">
        <v>4938</v>
      </c>
    </row>
    <row r="52" spans="1:7" x14ac:dyDescent="0.25">
      <c r="E52" s="55" t="s">
        <v>6592</v>
      </c>
      <c r="F52" t="s">
        <v>6591</v>
      </c>
      <c r="G52" t="s">
        <v>4938</v>
      </c>
    </row>
    <row r="53" spans="1:7" x14ac:dyDescent="0.25">
      <c r="B53">
        <v>1000</v>
      </c>
    </row>
    <row r="54" spans="1:7" x14ac:dyDescent="0.25">
      <c r="A54" t="s">
        <v>4800</v>
      </c>
      <c r="B54" t="s">
        <v>6386</v>
      </c>
      <c r="C54" t="s">
        <v>6640</v>
      </c>
    </row>
    <row r="55" spans="1:7" x14ac:dyDescent="0.25">
      <c r="B55" t="s">
        <v>6386</v>
      </c>
      <c r="C55" t="s">
        <v>6641</v>
      </c>
    </row>
    <row r="56" spans="1:7" x14ac:dyDescent="0.25">
      <c r="B56" t="s">
        <v>6386</v>
      </c>
      <c r="C56" t="s">
        <v>6642</v>
      </c>
    </row>
    <row r="57" spans="1:7" x14ac:dyDescent="0.25">
      <c r="B57" t="s">
        <v>6362</v>
      </c>
      <c r="C57" t="s">
        <v>6643</v>
      </c>
    </row>
    <row r="58" spans="1:7" x14ac:dyDescent="0.25">
      <c r="A58">
        <v>1000</v>
      </c>
      <c r="B58" t="s">
        <v>6386</v>
      </c>
      <c r="C58" t="s">
        <v>6640</v>
      </c>
    </row>
    <row r="59" spans="1:7" x14ac:dyDescent="0.25">
      <c r="A59">
        <v>1000</v>
      </c>
      <c r="B59" t="s">
        <v>6386</v>
      </c>
      <c r="C59" t="s">
        <v>6641</v>
      </c>
    </row>
    <row r="60" spans="1:7" x14ac:dyDescent="0.25">
      <c r="A60">
        <v>1000</v>
      </c>
      <c r="B60" t="s">
        <v>6386</v>
      </c>
      <c r="C60" t="s">
        <v>6642</v>
      </c>
    </row>
    <row r="61" spans="1:7" x14ac:dyDescent="0.25">
      <c r="A61">
        <v>1000</v>
      </c>
      <c r="B61" t="s">
        <v>6362</v>
      </c>
      <c r="C61" t="s">
        <v>6643</v>
      </c>
    </row>
    <row r="64" spans="1:7" x14ac:dyDescent="0.25">
      <c r="B64" t="s">
        <v>4800</v>
      </c>
    </row>
    <row r="65" spans="2:8" x14ac:dyDescent="0.25">
      <c r="B65" t="s">
        <v>6640</v>
      </c>
      <c r="C65" s="55" t="s">
        <v>6586</v>
      </c>
    </row>
    <row r="66" spans="2:8" x14ac:dyDescent="0.25">
      <c r="B66" t="s">
        <v>6641</v>
      </c>
      <c r="C66" s="55" t="s">
        <v>6588</v>
      </c>
    </row>
    <row r="67" spans="2:8" x14ac:dyDescent="0.25">
      <c r="B67" t="s">
        <v>6642</v>
      </c>
      <c r="C67" s="55" t="s">
        <v>6590</v>
      </c>
    </row>
    <row r="68" spans="2:8" x14ac:dyDescent="0.25">
      <c r="B68" t="s">
        <v>6643</v>
      </c>
      <c r="C68" s="55" t="s">
        <v>6592</v>
      </c>
    </row>
    <row r="74" spans="2:8" x14ac:dyDescent="0.25">
      <c r="B74">
        <v>1000</v>
      </c>
    </row>
    <row r="75" spans="2:8" x14ac:dyDescent="0.25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25">
      <c r="B76" s="56" t="s">
        <v>6645</v>
      </c>
      <c r="C76" s="56" t="s">
        <v>6632</v>
      </c>
    </row>
    <row r="78" spans="2:8" x14ac:dyDescent="0.25">
      <c r="B78">
        <v>1000</v>
      </c>
    </row>
    <row r="79" spans="2:8" x14ac:dyDescent="0.25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LS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LS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LS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LS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LS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LS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LS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pvt</vt:lpstr>
      <vt:lpstr>STUCT1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2025-09-03T20:01:00Z</dcterms:modified>
</cp:coreProperties>
</file>