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1428CBA-DF3E-423A-828D-411595D9DDC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0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46" i="1" l="1"/>
  <c r="A847" i="1" s="1"/>
  <c r="H846" i="1"/>
  <c r="H847" i="1"/>
  <c r="A840" i="1"/>
  <c r="A841" i="1" s="1"/>
  <c r="A842" i="1" s="1"/>
  <c r="A843" i="1" s="1"/>
  <c r="A844" i="1" s="1"/>
  <c r="A845" i="1" s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</calcChain>
</file>

<file path=xl/sharedStrings.xml><?xml version="1.0" encoding="utf-8"?>
<sst xmlns="http://schemas.openxmlformats.org/spreadsheetml/2006/main" count="49497" uniqueCount="9015">
  <si>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</si>
  <si>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</si>
  <si>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</si>
  <si>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</si>
  <si>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</si>
  <si>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</si>
  <si>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</si>
  <si>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</si>
  <si>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</si>
  <si>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</si>
  <si>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</si>
  <si>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</si>
  <si>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</si>
  <si>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</si>
  <si>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</si>
  <si>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</si>
  <si>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</si>
  <si>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</si>
  <si>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</si>
  <si>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</si>
  <si>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</si>
  <si>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</si>
  <si>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</si>
  <si>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</si>
  <si>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</si>
  <si>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</si>
  <si>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</si>
  <si>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</si>
  <si>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</si>
  <si>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</si>
  <si>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</si>
  <si>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</si>
  <si>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</si>
  <si>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</si>
  <si>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</si>
  <si>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</si>
  <si>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</si>
  <si>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</si>
  <si>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</si>
  <si>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</si>
  <si>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</si>
  <si>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</si>
  <si>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</si>
  <si>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</si>
  <si>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</si>
  <si>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</si>
  <si>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</si>
  <si>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</si>
  <si>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</si>
  <si>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</si>
  <si>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</si>
  <si>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</si>
  <si>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</si>
  <si>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</si>
  <si>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</si>
  <si>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</si>
  <si>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</si>
  <si>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</si>
  <si>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</si>
  <si>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</si>
  <si>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</si>
  <si>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</si>
  <si>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</si>
  <si>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</si>
  <si>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</si>
  <si>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</si>
  <si>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</si>
  <si>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</si>
  <si>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</si>
  <si>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</si>
  <si>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</si>
  <si>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</si>
  <si>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</si>
  <si>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</si>
  <si>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</si>
  <si>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</si>
  <si>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</si>
  <si>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</si>
  <si>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</si>
  <si>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</si>
  <si>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</si>
  <si>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</si>
  <si>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</si>
  <si>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</si>
  <si>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</si>
  <si>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</si>
  <si>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</si>
  <si>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</si>
  <si>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</si>
  <si>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</si>
  <si>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</si>
  <si>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</si>
  <si>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</si>
  <si>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</si>
  <si>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</si>
  <si>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</si>
  <si>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</si>
  <si>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</si>
  <si>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</si>
  <si>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</si>
  <si>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</si>
  <si>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</si>
  <si>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</si>
  <si>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</si>
  <si>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</si>
  <si>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</si>
  <si>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</si>
  <si>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</si>
  <si>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</si>
  <si>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</si>
  <si>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</si>
  <si>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</si>
  <si>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</si>
  <si>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</si>
  <si>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</si>
  <si>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</si>
  <si>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</si>
  <si>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</si>
  <si>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</si>
  <si>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</si>
  <si>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</si>
  <si>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</si>
  <si>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</si>
  <si>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</si>
  <si>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</si>
  <si>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</si>
  <si>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</si>
  <si>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</si>
  <si>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</si>
  <si>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</si>
  <si>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</si>
  <si>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</si>
  <si>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</si>
  <si>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</si>
  <si>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</si>
  <si>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</si>
  <si>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</si>
  <si>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</si>
  <si>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</si>
  <si>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</si>
  <si>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</si>
  <si>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</si>
  <si>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</si>
  <si>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</si>
  <si>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</si>
  <si>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</si>
  <si>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</si>
  <si>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</si>
  <si>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</si>
  <si>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</si>
  <si>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</si>
  <si>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</si>
  <si>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</si>
  <si>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</si>
  <si>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</si>
  <si>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</si>
  <si>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</si>
  <si>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</si>
  <si>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</si>
  <si>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</si>
  <si>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</si>
  <si>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</si>
  <si>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</si>
  <si>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</si>
  <si>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</si>
  <si>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</si>
  <si>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</si>
  <si>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</si>
  <si>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</si>
  <si>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</si>
  <si>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</si>
  <si>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</si>
  <si>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</si>
  <si>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</si>
  <si>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</si>
  <si>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</si>
  <si>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</si>
  <si>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</si>
  <si>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</si>
  <si>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</si>
  <si>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</si>
  <si>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</si>
  <si>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</si>
  <si>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</si>
  <si>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</si>
  <si>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</si>
  <si>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</si>
  <si>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</si>
  <si>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</si>
  <si>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</si>
  <si>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</si>
  <si>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</si>
  <si>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</si>
  <si>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</si>
  <si>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</si>
  <si>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</si>
  <si>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</si>
  <si>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</si>
  <si>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</si>
  <si>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</si>
  <si>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</si>
  <si>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</si>
  <si>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</si>
  <si>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</si>
  <si>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</si>
  <si>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</si>
  <si>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</si>
  <si>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</si>
  <si>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</si>
  <si>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</si>
  <si>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</si>
  <si>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</si>
  <si>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</si>
  <si>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</si>
  <si>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</si>
  <si>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</si>
  <si>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</si>
  <si>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</si>
  <si>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</si>
  <si>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</si>
  <si>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</si>
  <si>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</si>
  <si>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</si>
  <si>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</si>
  <si>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</si>
  <si>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</si>
  <si>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</si>
  <si>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</si>
  <si>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</si>
  <si>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</si>
  <si>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</si>
  <si>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</si>
  <si>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</si>
  <si>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</si>
  <si>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</si>
  <si>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</si>
  <si>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</si>
  <si>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</si>
  <si>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</si>
  <si>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</si>
  <si>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</si>
  <si>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</si>
  <si>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</si>
  <si>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</si>
  <si>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</si>
  <si>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</si>
  <si>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</si>
  <si>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</si>
  <si>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</si>
  <si>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</si>
  <si>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</si>
  <si>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</si>
  <si>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</si>
  <si>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</si>
  <si>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</si>
  <si>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</si>
  <si>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</si>
  <si>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</si>
  <si>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</si>
  <si>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</si>
  <si>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</si>
  <si>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</si>
  <si>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</si>
  <si>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</si>
  <si>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</si>
  <si>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</si>
  <si>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</si>
  <si>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</si>
  <si>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</si>
  <si>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</si>
  <si>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</si>
  <si>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</si>
  <si>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</si>
  <si>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</si>
  <si>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</si>
  <si>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</si>
  <si>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</si>
  <si>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</si>
  <si>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</si>
  <si>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</si>
  <si>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</si>
  <si>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</si>
  <si>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</si>
  <si>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</si>
  <si>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</si>
  <si>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</si>
  <si>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</si>
  <si>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</si>
  <si>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</si>
  <si>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</si>
  <si>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</si>
  <si>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</si>
  <si>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</si>
  <si>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</si>
  <si>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</si>
  <si>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</si>
  <si>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</si>
  <si>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</si>
  <si>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</si>
  <si>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</si>
  <si>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</si>
  <si>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</si>
  <si>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</si>
  <si>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</si>
  <si>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</si>
  <si>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</si>
  <si>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</si>
  <si>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</si>
  <si>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</si>
  <si>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</si>
  <si>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</si>
  <si>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</si>
  <si>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</si>
  <si>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</si>
  <si>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</si>
  <si>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</si>
  <si>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</si>
  <si>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</si>
  <si>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</si>
  <si>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</si>
  <si>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</si>
  <si>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</si>
  <si>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</si>
  <si>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</si>
  <si>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</si>
  <si>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</si>
  <si>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</si>
  <si>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</si>
  <si>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</si>
  <si>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</si>
  <si>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</si>
  <si>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</si>
  <si>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</si>
  <si>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</si>
  <si>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</si>
  <si>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</si>
  <si>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</si>
  <si>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</si>
  <si>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</si>
  <si>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</si>
  <si>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</si>
  <si>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</si>
  <si>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</si>
  <si>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</si>
  <si>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</si>
  <si>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</si>
  <si>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</si>
  <si>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</si>
  <si>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</si>
  <si>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</si>
  <si>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</si>
  <si>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</si>
  <si>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</si>
  <si>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</si>
  <si>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</si>
  <si>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</si>
  <si>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</si>
  <si>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</si>
  <si>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</si>
  <si>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</si>
  <si>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</si>
  <si>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</si>
  <si>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</si>
  <si>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</si>
  <si>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</si>
  <si>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</si>
  <si>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</si>
  <si>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</si>
  <si>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</si>
  <si>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</si>
  <si>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</si>
  <si>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</si>
  <si>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</si>
  <si>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</si>
  <si>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</si>
  <si>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</si>
  <si>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</si>
  <si>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</si>
  <si>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</si>
  <si>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</si>
  <si>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</si>
  <si>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</si>
  <si>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</si>
  <si>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</si>
  <si>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</si>
  <si>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</si>
  <si>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</si>
  <si>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</si>
  <si>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</si>
  <si>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</si>
  <si>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</si>
  <si>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</si>
  <si>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</si>
  <si>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</si>
  <si>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</si>
  <si>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</si>
  <si>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</si>
  <si>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</si>
  <si>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</si>
  <si>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</si>
  <si>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</si>
  <si>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</si>
  <si>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</si>
  <si>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</si>
  <si>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</si>
  <si>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</si>
  <si>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</si>
  <si>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</si>
  <si>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</si>
  <si>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</si>
  <si>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</si>
  <si>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</si>
  <si>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</si>
  <si>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</si>
  <si>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</si>
  <si>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</si>
  <si>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</si>
  <si>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</si>
  <si>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</si>
  <si>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</si>
  <si>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</si>
  <si>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</si>
  <si>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</si>
  <si>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</si>
  <si>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</si>
  <si>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</si>
  <si>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</si>
  <si>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</si>
  <si>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</si>
  <si>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</si>
  <si>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</si>
  <si>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</si>
  <si>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</si>
  <si>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</si>
  <si>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</si>
  <si>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</si>
  <si>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</si>
  <si>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</si>
  <si>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</si>
  <si>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</si>
  <si>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</si>
  <si>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</si>
  <si>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</si>
  <si>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</si>
  <si>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</si>
  <si>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</si>
  <si>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</si>
  <si>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</si>
  <si>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</si>
  <si>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</si>
  <si>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</si>
  <si>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</si>
  <si>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</si>
  <si>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</si>
  <si>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</si>
  <si>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</si>
  <si>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</si>
  <si>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</si>
  <si>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</si>
  <si>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</si>
  <si>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</si>
  <si>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</si>
  <si>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</si>
  <si>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</si>
  <si>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</si>
  <si>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</si>
  <si>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</si>
  <si>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</si>
  <si>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</si>
  <si>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</si>
  <si>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</si>
  <si>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</si>
  <si>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</si>
  <si>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</si>
  <si>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</si>
  <si>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</si>
  <si>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</si>
  <si>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</si>
  <si>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</si>
  <si>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</si>
  <si>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</si>
  <si>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</si>
  <si>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</si>
  <si>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</si>
  <si>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</si>
  <si>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</si>
  <si>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</si>
  <si>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</si>
  <si>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</si>
  <si>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</si>
  <si>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</si>
  <si>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</si>
  <si>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</si>
  <si>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</si>
  <si>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</si>
  <si>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</si>
  <si>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</si>
  <si>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</si>
  <si>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</si>
  <si>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</si>
  <si>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</si>
  <si>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</si>
  <si>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</si>
  <si>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</si>
  <si>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</si>
  <si>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</si>
  <si>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</si>
  <si>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</si>
  <si>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</si>
  <si>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</si>
  <si>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</si>
  <si>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</si>
  <si>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</si>
  <si>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</si>
  <si>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</si>
  <si>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</si>
  <si>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</si>
  <si>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</si>
  <si>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</si>
  <si>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</si>
  <si>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</si>
  <si>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</si>
  <si>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</si>
  <si>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</si>
  <si>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</si>
  <si>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</si>
  <si>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</si>
  <si>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</si>
  <si>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</si>
  <si>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</si>
  <si>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</si>
  <si>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</si>
  <si>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</si>
  <si>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</si>
  <si>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</si>
  <si>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</si>
  <si>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</si>
  <si>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</si>
  <si>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</si>
  <si>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</si>
  <si>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</si>
  <si>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</si>
  <si>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</si>
  <si>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</si>
  <si>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</si>
  <si>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</si>
  <si>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</si>
  <si>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</si>
  <si>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</si>
  <si>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</si>
  <si>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</si>
  <si>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</si>
  <si>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</si>
  <si>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</si>
  <si>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</si>
  <si>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</si>
  <si>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</si>
  <si>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</si>
  <si>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</si>
  <si>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</si>
  <si>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</si>
  <si>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</si>
  <si>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</si>
  <si>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</si>
  <si>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</si>
  <si>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</si>
  <si>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</si>
  <si>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</si>
  <si>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</si>
  <si>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</si>
  <si>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</si>
  <si>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</si>
  <si>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</si>
  <si>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</si>
  <si>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</si>
  <si>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</si>
  <si>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</si>
  <si>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</si>
  <si>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</si>
  <si>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</si>
  <si>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</si>
  <si>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</si>
  <si>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</si>
  <si>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</si>
  <si>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</si>
  <si>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</si>
  <si>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</si>
  <si>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</si>
  <si>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</si>
  <si>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</si>
  <si>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</si>
  <si>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</si>
  <si>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</si>
  <si>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</si>
  <si>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</si>
  <si>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</si>
  <si>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</si>
  <si>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</si>
  <si>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</si>
  <si>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</si>
  <si>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</si>
  <si>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</si>
  <si>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</si>
  <si>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</si>
  <si>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</si>
  <si>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</si>
  <si>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</si>
  <si>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</si>
  <si>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</si>
  <si>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</si>
  <si>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</si>
  <si>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</si>
  <si>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</si>
  <si>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</si>
  <si>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</si>
  <si>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</si>
  <si>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</si>
  <si>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</si>
  <si>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</si>
  <si>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</si>
  <si>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</si>
  <si>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</si>
  <si>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</si>
  <si>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</si>
  <si>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</si>
  <si>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</si>
  <si>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</si>
  <si>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</si>
  <si>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</si>
  <si>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</si>
  <si>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</si>
  <si>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</si>
  <si>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</si>
  <si>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</si>
  <si>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</si>
  <si>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</si>
  <si>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</si>
  <si>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</si>
  <si>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</si>
  <si>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</si>
  <si>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</si>
  <si>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</si>
  <si>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</si>
  <si>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</si>
  <si>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</si>
  <si>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</si>
  <si>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</si>
  <si>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</si>
  <si>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</si>
  <si>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</si>
  <si>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</si>
  <si>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</si>
  <si>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</si>
  <si>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</si>
  <si>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</si>
  <si>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</si>
  <si>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</si>
  <si>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</si>
  <si>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</si>
  <si>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</si>
  <si>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</si>
  <si>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</si>
  <si>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</si>
  <si>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</si>
  <si>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</si>
  <si>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</si>
  <si>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</si>
  <si>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</si>
  <si>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</si>
  <si>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</si>
  <si>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</si>
  <si>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</si>
  <si>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</si>
  <si>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</si>
  <si>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</si>
  <si>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</si>
  <si>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</si>
  <si>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</si>
  <si>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</si>
  <si>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</si>
  <si>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</si>
  <si>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</si>
  <si>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</si>
  <si>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</si>
  <si>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</si>
  <si>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</si>
  <si>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</si>
  <si>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</si>
  <si>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</si>
  <si>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</si>
  <si>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</si>
  <si>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</si>
  <si>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</si>
  <si>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</si>
  <si>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</si>
  <si>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</si>
  <si>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</si>
  <si>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</si>
  <si>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</si>
  <si>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</si>
  <si>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</si>
  <si>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</si>
  <si>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</si>
  <si>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</si>
  <si>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</si>
  <si>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</si>
  <si>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</si>
  <si>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</si>
  <si>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</si>
  <si>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</si>
  <si>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</si>
  <si>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</si>
  <si>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</si>
  <si>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</si>
  <si>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</si>
  <si>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</si>
  <si>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</si>
  <si>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</si>
  <si>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</si>
  <si>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</si>
  <si>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</si>
  <si>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</si>
  <si>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</si>
  <si>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</si>
  <si>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</si>
  <si>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</si>
  <si>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</si>
  <si>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</si>
  <si>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</si>
  <si>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</si>
  <si>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</si>
  <si>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</si>
  <si>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</si>
  <si>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</si>
  <si>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</si>
  <si>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</si>
  <si>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</si>
  <si>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</si>
  <si>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</si>
  <si>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</si>
  <si>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</si>
  <si>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</si>
  <si>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</si>
  <si>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</si>
  <si>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</si>
  <si>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</si>
  <si>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</si>
  <si>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</si>
  <si>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</si>
  <si>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</si>
  <si>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</si>
  <si>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</si>
  <si>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</si>
  <si>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</si>
  <si>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</si>
  <si>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</si>
  <si>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</si>
  <si>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</si>
  <si>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</si>
  <si>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</si>
  <si>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</si>
  <si>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</si>
  <si>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</si>
  <si>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</si>
  <si>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</si>
  <si>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</si>
  <si>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</si>
  <si>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</si>
  <si>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</si>
  <si>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</si>
  <si>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</si>
  <si>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</si>
  <si>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</si>
  <si>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</si>
  <si>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</si>
  <si>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</si>
  <si>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</si>
  <si>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</si>
  <si>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</si>
  <si>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</si>
  <si>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</si>
  <si>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</si>
  <si>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</si>
  <si>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</si>
  <si>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</si>
  <si>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</si>
  <si>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</si>
  <si>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</si>
  <si>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</si>
  <si>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</si>
  <si>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</si>
  <si>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</si>
  <si>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</si>
  <si>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</si>
  <si>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</si>
  <si>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</si>
  <si>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</si>
  <si>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</si>
  <si>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</si>
  <si>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</si>
  <si>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</si>
  <si>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</si>
  <si>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</si>
  <si>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</si>
  <si>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</si>
  <si>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</si>
  <si>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</si>
  <si>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</si>
  <si>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</si>
  <si>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</si>
  <si>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</si>
  <si>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</si>
  <si>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</si>
  <si>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</si>
  <si>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</si>
  <si>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</si>
  <si>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</si>
  <si>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</si>
  <si>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</si>
  <si>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</si>
  <si>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</si>
  <si>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</si>
  <si>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</si>
  <si>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</si>
  <si>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</si>
  <si>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</si>
  <si>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</si>
  <si>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</si>
  <si>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</si>
  <si>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</si>
  <si>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</si>
  <si>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</si>
  <si>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</si>
  <si>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</si>
  <si>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</si>
  <si>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</si>
  <si>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</si>
  <si>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</si>
  <si>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</si>
  <si>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</si>
  <si>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</si>
  <si>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</si>
  <si>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</si>
  <si>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</si>
  <si>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</si>
  <si>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</si>
  <si>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</si>
  <si>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</si>
  <si>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</si>
  <si>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</si>
  <si>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</si>
  <si>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</si>
  <si>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</si>
  <si>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</si>
  <si>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</si>
  <si>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</si>
  <si>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</si>
  <si>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</si>
  <si>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</si>
  <si>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</si>
  <si>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</si>
  <si>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</si>
  <si>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</si>
  <si>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</si>
  <si>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</si>
  <si>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</si>
  <si>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</si>
  <si>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</si>
  <si>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</si>
  <si>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</si>
  <si>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</si>
  <si>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</si>
  <si>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</si>
  <si>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</si>
  <si>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</si>
  <si>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</si>
  <si>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</si>
  <si>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</si>
  <si>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</si>
  <si>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</si>
  <si>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</si>
  <si>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</si>
  <si>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</si>
  <si>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</si>
  <si>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</si>
  <si>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</si>
  <si>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</si>
  <si>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</si>
  <si>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</si>
  <si>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</si>
  <si>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</si>
  <si>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</si>
  <si>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</si>
  <si>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</si>
  <si>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</si>
  <si>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</si>
  <si>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</si>
  <si>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</si>
  <si>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</si>
  <si>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</si>
  <si>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</si>
  <si>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</si>
  <si>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</si>
  <si>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</si>
  <si>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</si>
  <si>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</si>
  <si>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</si>
  <si>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</si>
  <si>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</si>
  <si>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</si>
  <si>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</si>
  <si>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</si>
  <si>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</si>
  <si>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</si>
  <si>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</si>
  <si>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</si>
  <si>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</si>
  <si>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</si>
  <si>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</si>
  <si>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</si>
  <si>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</si>
  <si>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</si>
  <si>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</si>
  <si>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</si>
  <si>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</si>
  <si>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</si>
  <si>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</si>
  <si>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</si>
  <si>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</si>
  <si>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</si>
  <si>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</si>
  <si>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</si>
  <si>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</si>
  <si>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</si>
  <si>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</si>
  <si>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</si>
  <si>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</si>
  <si>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</si>
  <si>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</si>
  <si>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</si>
  <si>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</si>
  <si>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</si>
  <si>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</si>
  <si>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</si>
  <si>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</si>
  <si>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</si>
  <si>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</si>
  <si>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</si>
  <si>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</si>
  <si>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</si>
  <si>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</si>
  <si>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</si>
  <si>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</si>
  <si>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</si>
  <si>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</si>
  <si>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</si>
  <si>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</si>
  <si>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</si>
  <si>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</si>
  <si>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</si>
  <si>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</si>
  <si>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</si>
  <si>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</si>
  <si>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</si>
  <si>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</si>
  <si>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</si>
  <si>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</si>
  <si>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</si>
  <si>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</si>
  <si>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</si>
  <si>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</si>
  <si>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</si>
  <si>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</si>
  <si>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</si>
  <si>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</si>
  <si>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</si>
  <si>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</si>
  <si>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</si>
  <si>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</si>
  <si>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</si>
  <si>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</si>
  <si>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</si>
  <si>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</si>
  <si>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</si>
  <si>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</si>
  <si>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</si>
  <si>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</si>
  <si>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</si>
  <si>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</si>
  <si>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</si>
  <si>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</si>
  <si>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</si>
  <si>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</si>
  <si>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</si>
  <si>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</si>
  <si>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</si>
  <si>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</si>
  <si>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</si>
  <si>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</si>
  <si>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</si>
  <si>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</si>
  <si>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</si>
  <si>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</si>
  <si>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</si>
  <si>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</si>
  <si>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</si>
  <si>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</si>
  <si>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</si>
  <si>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</si>
  <si>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</si>
  <si>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</si>
  <si>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</si>
  <si>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</si>
  <si>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</si>
  <si>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</si>
  <si>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</si>
  <si>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</si>
  <si>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</si>
  <si>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</si>
  <si>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</si>
  <si>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</si>
  <si>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</si>
  <si>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</si>
  <si>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</si>
  <si>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</si>
  <si>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</si>
  <si>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</si>
  <si>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</si>
  <si>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</si>
  <si>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</si>
  <si>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</si>
  <si>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</si>
  <si>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</si>
  <si>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</si>
  <si>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</si>
  <si>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</si>
  <si>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</si>
  <si>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</si>
  <si>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</si>
  <si>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</si>
  <si>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</si>
  <si>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</si>
  <si>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</si>
  <si>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</si>
  <si>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</si>
  <si>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</si>
  <si>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</si>
  <si>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</si>
  <si>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</si>
  <si>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</si>
  <si>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</si>
  <si>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</si>
  <si>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</si>
  <si>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</si>
  <si>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</si>
  <si>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</si>
  <si>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</si>
  <si>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</si>
  <si>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</si>
  <si>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</si>
  <si>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</si>
  <si>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</si>
  <si>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</si>
  <si>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</si>
  <si>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</si>
  <si>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</si>
  <si>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</si>
  <si>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</si>
  <si>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</si>
  <si>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</si>
  <si>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</si>
  <si>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</si>
  <si>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</si>
  <si>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</si>
  <si>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</si>
  <si>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</si>
  <si>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</si>
  <si>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</si>
  <si>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</si>
  <si>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</si>
  <si>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</si>
  <si>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</si>
  <si>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</si>
  <si>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</si>
  <si>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</si>
  <si>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</si>
  <si>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</si>
  <si>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</si>
  <si>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</si>
  <si>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</si>
  <si>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</si>
  <si>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</si>
  <si>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</si>
  <si>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</si>
  <si>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</si>
  <si>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</si>
  <si>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</si>
  <si>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</si>
  <si>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</si>
  <si>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</si>
  <si>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</si>
  <si>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</si>
  <si>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</si>
  <si>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</si>
  <si>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</si>
  <si>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</si>
  <si>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</si>
  <si>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</si>
  <si>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</si>
  <si>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</si>
  <si>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</si>
  <si>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</si>
  <si>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</si>
  <si>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</si>
  <si>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</si>
  <si>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</si>
  <si>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</si>
  <si>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</si>
  <si>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</si>
  <si>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</si>
  <si>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</si>
  <si>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</si>
  <si>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</si>
  <si>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</si>
  <si>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</si>
  <si>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</si>
  <si>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</si>
  <si>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</si>
  <si>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</si>
  <si>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</si>
  <si>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</si>
  <si>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</si>
  <si>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</si>
  <si>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</si>
  <si>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</si>
  <si>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</si>
  <si>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</si>
  <si>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</si>
  <si>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</si>
  <si>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</si>
  <si>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</si>
  <si>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</si>
  <si>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</si>
  <si>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</si>
  <si>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</si>
  <si>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</si>
  <si>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</si>
  <si>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</si>
  <si>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</si>
  <si>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</si>
  <si>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</si>
  <si>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</si>
  <si>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</si>
  <si>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</si>
  <si>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</si>
  <si>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</si>
  <si>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</si>
  <si>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</si>
  <si>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</si>
  <si>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</si>
  <si>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</si>
  <si>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</si>
  <si>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</si>
  <si>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</si>
  <si>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</si>
  <si>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</si>
  <si>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</si>
  <si>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</si>
  <si>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</si>
  <si>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</si>
  <si>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</si>
  <si>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</si>
  <si>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</si>
  <si>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</si>
  <si>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</si>
  <si>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</si>
  <si>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</si>
  <si>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</si>
  <si>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</si>
  <si>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</si>
  <si>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</si>
  <si>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</si>
  <si>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</si>
  <si>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</si>
  <si>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</si>
  <si>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</si>
  <si>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</si>
  <si>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</si>
  <si>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</si>
  <si>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</si>
  <si>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</si>
  <si>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</si>
  <si>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</si>
  <si>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</si>
  <si>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</si>
  <si>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</si>
  <si>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</si>
  <si>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</si>
  <si>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</si>
  <si>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</si>
  <si>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</si>
  <si>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</si>
  <si>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</si>
  <si>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</si>
  <si>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</si>
  <si>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</si>
  <si>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</si>
  <si>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</si>
  <si>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</si>
  <si>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</si>
  <si>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</si>
  <si>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</si>
  <si>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</si>
  <si>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</si>
  <si>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</si>
  <si>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</si>
  <si>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</si>
  <si>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</si>
  <si>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</si>
  <si>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</si>
  <si>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</si>
  <si>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</si>
  <si>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</si>
  <si>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</si>
  <si>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</si>
  <si>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</si>
  <si>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</si>
  <si>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</si>
  <si>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</si>
  <si>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</si>
  <si>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</si>
  <si>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</si>
  <si>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</si>
  <si>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</si>
  <si>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</si>
  <si>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</si>
  <si>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</si>
  <si>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</si>
  <si>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</si>
  <si>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</si>
  <si>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</si>
  <si>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</si>
  <si>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</si>
  <si>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</si>
  <si>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</si>
  <si>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</si>
  <si>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</si>
  <si>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</si>
  <si>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</si>
  <si>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</si>
  <si>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</si>
  <si>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</si>
  <si>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</si>
  <si>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</si>
  <si>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</si>
  <si>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</si>
  <si>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</si>
  <si>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</si>
  <si>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</si>
  <si>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</si>
  <si>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</si>
  <si>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</si>
  <si>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</si>
  <si>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</si>
  <si>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</si>
  <si>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</si>
  <si>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</si>
  <si>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</si>
  <si>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</si>
  <si>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</si>
  <si>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</si>
  <si>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</si>
  <si>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</si>
  <si>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</si>
  <si>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</si>
  <si>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</si>
  <si>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</si>
  <si>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</si>
  <si>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</si>
  <si>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</si>
  <si>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</si>
  <si>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</si>
  <si>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</si>
  <si>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</si>
  <si>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</si>
  <si>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</si>
  <si>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</si>
  <si>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</si>
  <si>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</si>
  <si>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</si>
  <si>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</si>
  <si>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</si>
  <si>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</si>
  <si>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</si>
  <si>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</si>
  <si>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</si>
  <si>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</si>
  <si>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</si>
  <si>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</si>
  <si>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</si>
  <si>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</si>
  <si>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</si>
  <si>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</si>
  <si>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</si>
  <si>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</si>
  <si>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</si>
  <si>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</si>
  <si>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</si>
  <si>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</si>
  <si>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</si>
  <si>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</si>
  <si>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</si>
  <si>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</si>
  <si>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</si>
  <si>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</si>
  <si>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</si>
  <si>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</si>
  <si>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</si>
  <si>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</si>
  <si>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</si>
  <si>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</si>
  <si>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</si>
  <si>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</si>
  <si>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</si>
  <si>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</si>
  <si>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</si>
  <si>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</si>
  <si>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</si>
  <si>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</si>
  <si>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</si>
  <si>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</si>
  <si>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</si>
  <si>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</si>
  <si>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</si>
  <si>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</si>
  <si>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</si>
  <si>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</si>
  <si>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</si>
  <si>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</si>
  <si>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</si>
  <si>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</si>
  <si>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</si>
  <si>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</si>
  <si>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</si>
  <si>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</si>
  <si>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</si>
  <si>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</si>
  <si>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</si>
  <si>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</si>
  <si>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</si>
  <si>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</si>
  <si>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</si>
  <si>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</si>
  <si>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</si>
  <si>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</si>
  <si>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</si>
  <si>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</si>
  <si>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</si>
  <si>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</si>
  <si>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</si>
  <si>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</si>
  <si>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</si>
  <si>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</si>
  <si>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</si>
  <si>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</si>
  <si>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</si>
  <si>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</si>
  <si>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</si>
  <si>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</si>
  <si>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</si>
  <si>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</si>
  <si>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</si>
  <si>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</si>
  <si>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</si>
  <si>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</si>
  <si>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</si>
  <si>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</si>
  <si>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</si>
  <si>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</si>
  <si>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</si>
  <si>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</si>
  <si>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</si>
  <si>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</si>
  <si>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</si>
  <si>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</si>
  <si>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</si>
  <si>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</si>
  <si>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</si>
  <si>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</si>
  <si>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</si>
  <si>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</si>
  <si>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</si>
  <si>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</si>
  <si>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</si>
  <si>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</si>
  <si>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</si>
  <si>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</si>
  <si>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</si>
  <si>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</si>
  <si>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</si>
  <si>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</si>
  <si>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</si>
  <si>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</si>
  <si>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</si>
  <si>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</si>
  <si>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</si>
  <si>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</si>
  <si>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</si>
  <si>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</si>
  <si>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</si>
  <si>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</si>
  <si>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</si>
  <si>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</si>
  <si>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</si>
  <si>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</si>
  <si>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</si>
  <si>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</si>
  <si>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</si>
  <si>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</si>
  <si>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</si>
  <si>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</si>
  <si>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</si>
  <si>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</si>
  <si>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</si>
  <si>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</si>
  <si>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</si>
  <si>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</si>
  <si>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</si>
  <si>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</si>
  <si>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</si>
  <si>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</si>
  <si>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</si>
  <si>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</si>
  <si>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</si>
  <si>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</si>
  <si>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</si>
  <si>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</si>
  <si>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</si>
  <si>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</si>
  <si>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</si>
  <si>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</si>
  <si>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</si>
  <si>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</si>
  <si>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</si>
  <si>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</si>
  <si>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</si>
  <si>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</si>
  <si>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</si>
  <si>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</si>
  <si>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</si>
  <si>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</si>
  <si>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</si>
  <si>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</si>
  <si>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</si>
  <si>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</si>
  <si>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</si>
  <si>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</si>
  <si>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</si>
  <si>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</si>
  <si>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</si>
  <si>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</si>
  <si>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</si>
  <si>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</si>
  <si>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</si>
  <si>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</si>
  <si>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</si>
  <si>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</si>
  <si>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</si>
  <si>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</si>
  <si>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</si>
  <si>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</si>
  <si>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</si>
  <si>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</si>
  <si>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</si>
  <si>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</si>
  <si>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</si>
  <si>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</si>
  <si>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</si>
  <si>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</si>
  <si>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</si>
  <si>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</si>
  <si>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</si>
  <si>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</si>
  <si>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</si>
  <si>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</si>
  <si>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</si>
  <si>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</si>
  <si>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</si>
  <si>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</si>
  <si>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</si>
  <si>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</si>
  <si>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</si>
  <si>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</si>
  <si>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</si>
  <si>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</si>
  <si>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</si>
  <si>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</si>
  <si>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</si>
  <si>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</si>
  <si>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</si>
  <si>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</si>
  <si>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</si>
  <si>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</si>
  <si>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</si>
  <si>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</si>
  <si>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</si>
  <si>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</si>
  <si>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</si>
  <si>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</si>
  <si>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</si>
  <si>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</si>
  <si>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</si>
  <si>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</si>
  <si>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</si>
  <si>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</si>
  <si>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</si>
  <si>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</si>
  <si>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</si>
  <si>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</si>
  <si>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</si>
  <si>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</si>
  <si>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</si>
  <si>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</si>
  <si>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</si>
  <si>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</si>
  <si>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</si>
  <si>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</si>
  <si>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</si>
  <si>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</si>
  <si>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</si>
  <si>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</si>
  <si>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</si>
  <si>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</si>
  <si>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</si>
  <si>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</si>
  <si>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</si>
  <si>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</si>
  <si>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</si>
  <si>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</si>
  <si>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</si>
  <si>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</si>
  <si>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</si>
  <si>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</si>
  <si>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</si>
  <si>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</si>
  <si>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</si>
  <si>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</si>
  <si>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</si>
  <si>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</si>
  <si>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</si>
  <si>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</si>
  <si>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</si>
  <si>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</si>
  <si>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</si>
  <si>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</si>
  <si>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</si>
  <si>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</si>
  <si>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</si>
  <si>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</si>
  <si>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</si>
  <si>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</si>
  <si>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</si>
  <si>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</si>
  <si>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</si>
  <si>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</si>
  <si>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</si>
  <si>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</si>
  <si>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</si>
  <si>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</si>
  <si>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</si>
  <si>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</si>
  <si>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</si>
  <si>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</si>
  <si>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</si>
  <si>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</si>
  <si>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</si>
  <si>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</si>
  <si>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</si>
  <si>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</si>
  <si>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</si>
  <si>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</si>
  <si>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</si>
  <si>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</si>
  <si>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</si>
  <si>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</si>
  <si>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</si>
  <si>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</si>
  <si>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</si>
  <si>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</si>
  <si>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</si>
  <si>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</si>
  <si>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</si>
  <si>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</si>
  <si>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</si>
  <si>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</si>
  <si>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</si>
  <si>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</si>
  <si>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</si>
  <si>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</si>
  <si>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</si>
  <si>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</si>
  <si>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</si>
  <si>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</si>
  <si>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</si>
  <si>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</si>
  <si>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</si>
  <si>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</si>
  <si>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</si>
  <si>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</si>
  <si>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</si>
  <si>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</si>
  <si>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</si>
  <si>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</si>
  <si>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</si>
  <si>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</si>
  <si>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</si>
  <si>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</si>
  <si>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</si>
  <si>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</si>
  <si>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</si>
  <si>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</si>
  <si>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</si>
  <si>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</si>
  <si>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</si>
  <si>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</si>
  <si>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</si>
  <si>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</si>
  <si>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</si>
  <si>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</si>
  <si>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</si>
  <si>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</si>
  <si>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</si>
  <si>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</si>
  <si>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</si>
  <si>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</si>
  <si>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</si>
  <si>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</si>
  <si>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</si>
  <si>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</si>
  <si>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</si>
  <si>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</si>
  <si>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</si>
  <si>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</si>
  <si>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</si>
  <si>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</si>
  <si>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</si>
  <si>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</si>
  <si>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</si>
  <si>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</si>
  <si>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</si>
  <si>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</si>
  <si>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</si>
  <si>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</si>
  <si>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</si>
  <si>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</si>
  <si>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</si>
  <si>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</si>
  <si>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</si>
  <si>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</si>
  <si>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</si>
  <si>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</si>
  <si>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</si>
  <si>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</si>
  <si>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</si>
  <si>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</si>
  <si>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</si>
  <si>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</si>
  <si>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</si>
  <si>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</si>
  <si>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</si>
  <si>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</si>
  <si>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</si>
  <si>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</si>
  <si>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</si>
  <si>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</si>
  <si>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</si>
  <si>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</si>
  <si>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</si>
  <si>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</si>
  <si>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</si>
  <si>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</si>
  <si>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</si>
  <si>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</si>
  <si>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</si>
  <si>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</si>
  <si>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</si>
  <si>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</si>
  <si>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</si>
  <si>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</si>
  <si>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</si>
  <si>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</si>
  <si>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</si>
  <si>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</si>
  <si>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</si>
  <si>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</si>
  <si>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</si>
  <si>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</si>
  <si>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</si>
  <si>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</si>
  <si>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</si>
  <si>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</si>
  <si>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</si>
  <si>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</si>
  <si>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</si>
  <si>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</si>
  <si>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</si>
  <si>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</si>
  <si>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</si>
  <si>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</si>
  <si>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</si>
  <si>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</si>
  <si>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</si>
  <si>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</si>
  <si>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</si>
  <si>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</si>
  <si>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</si>
  <si>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</si>
  <si>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</si>
  <si>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</si>
  <si>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</si>
  <si>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</si>
  <si>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</si>
  <si>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</si>
  <si>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</si>
  <si>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</si>
  <si>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</si>
  <si>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</si>
  <si>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</si>
  <si>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</si>
  <si>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</si>
  <si>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</si>
  <si>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</si>
  <si>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</si>
  <si>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</si>
  <si>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</si>
  <si>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</si>
  <si>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</si>
  <si>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</si>
  <si>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</si>
  <si>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</si>
  <si>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</si>
  <si>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</si>
  <si>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</si>
  <si>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</si>
  <si>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</si>
  <si>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</si>
  <si>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</si>
  <si>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</si>
  <si>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</si>
  <si>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</si>
  <si>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</si>
  <si>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</si>
  <si>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</si>
  <si>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</si>
  <si>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</si>
  <si>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</si>
  <si>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</si>
  <si>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</si>
  <si>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</si>
  <si>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</si>
  <si>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</si>
  <si>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</si>
  <si>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</si>
  <si>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</si>
  <si>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</si>
  <si>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</si>
  <si>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</si>
  <si>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</si>
  <si>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</si>
  <si>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</si>
  <si>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</si>
  <si>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</si>
  <si>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</si>
  <si>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</si>
  <si>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</si>
  <si>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</si>
  <si>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</si>
  <si>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</si>
  <si>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</si>
  <si>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</si>
  <si>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</si>
  <si>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</si>
  <si>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</si>
  <si>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</si>
  <si>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</si>
  <si>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</si>
  <si>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</si>
  <si>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</si>
  <si>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</si>
  <si>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</si>
  <si>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</si>
  <si>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</si>
  <si>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</si>
  <si>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</si>
  <si>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</si>
  <si>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</si>
  <si>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</si>
  <si>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</si>
  <si>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</si>
  <si>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</si>
  <si>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</si>
  <si>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</si>
  <si>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</si>
  <si>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</si>
  <si>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</si>
  <si>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</si>
  <si>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</si>
  <si>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</si>
  <si>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</si>
  <si>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</si>
  <si>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</si>
  <si>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</si>
  <si>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</si>
  <si>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</si>
  <si>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</si>
  <si>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</si>
  <si>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</si>
  <si>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</si>
  <si>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</si>
  <si>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</si>
  <si>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</si>
  <si>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</si>
  <si>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</si>
  <si>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</si>
  <si>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</si>
  <si>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</si>
  <si>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</si>
  <si>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</si>
  <si>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</si>
  <si>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</si>
  <si>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</si>
  <si>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</si>
  <si>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</si>
  <si>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</si>
  <si>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</si>
  <si>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</si>
  <si>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</si>
  <si>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</si>
  <si>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</si>
  <si>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</si>
  <si>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</si>
  <si>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</si>
  <si>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</si>
  <si>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</si>
  <si>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</si>
  <si>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</si>
  <si>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</si>
  <si>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</si>
  <si>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</si>
  <si>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</si>
  <si>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</si>
  <si>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</si>
  <si>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</si>
  <si>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</si>
  <si>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</si>
  <si>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</si>
  <si>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</si>
  <si>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</si>
  <si>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</si>
  <si>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</si>
  <si>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</si>
  <si>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</si>
  <si>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</si>
  <si>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</si>
  <si>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</si>
  <si>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</si>
  <si>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</si>
  <si>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</si>
  <si>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</si>
  <si>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</si>
  <si>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</si>
  <si>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</si>
  <si>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</si>
  <si>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</si>
  <si>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</si>
  <si>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</si>
  <si>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</si>
  <si>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</si>
  <si>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</si>
  <si>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</si>
  <si>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</si>
  <si>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</si>
  <si>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</si>
  <si>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</si>
  <si>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</si>
  <si>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</si>
  <si>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</si>
  <si>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</si>
  <si>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</si>
  <si>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</si>
  <si>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</si>
  <si>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</si>
  <si>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</si>
  <si>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</si>
  <si>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</si>
  <si>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</si>
  <si>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</si>
  <si>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</si>
  <si>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</si>
  <si>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</si>
  <si>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</si>
  <si>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</si>
  <si>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</si>
  <si>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</si>
  <si>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</si>
  <si>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</si>
  <si>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</si>
  <si>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</si>
  <si>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</si>
  <si>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</si>
  <si>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</si>
  <si>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</si>
  <si>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</si>
  <si>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</si>
  <si>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</si>
  <si>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</si>
  <si>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</si>
  <si>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</si>
  <si>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</si>
  <si>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</si>
  <si>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</si>
  <si>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</si>
  <si>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</si>
  <si>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</si>
  <si>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</si>
  <si>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</si>
  <si>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</si>
  <si>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</si>
  <si>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</si>
  <si>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</si>
  <si>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</si>
  <si>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</si>
  <si>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</si>
  <si>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</si>
  <si>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</si>
  <si>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</si>
  <si>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</si>
  <si>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</si>
  <si>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</si>
  <si>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</si>
  <si>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</si>
  <si>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</si>
  <si>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</si>
  <si>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</si>
  <si>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</si>
  <si>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</si>
  <si>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</si>
  <si>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</si>
  <si>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</si>
  <si>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</si>
  <si>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</si>
  <si>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</si>
  <si>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</si>
  <si>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</si>
  <si>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</si>
  <si>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</si>
  <si>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</si>
  <si>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</si>
  <si>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</si>
  <si>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</si>
  <si>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</si>
  <si>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</si>
  <si>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</si>
  <si>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</si>
  <si>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</si>
  <si>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</si>
  <si>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</si>
  <si>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</si>
  <si>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</si>
  <si>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</si>
  <si>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</si>
  <si>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</si>
  <si>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</si>
  <si>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</si>
  <si>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</si>
  <si>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</si>
  <si>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</si>
  <si>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</si>
  <si>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</si>
  <si>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</si>
  <si>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</si>
  <si>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</si>
  <si>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</si>
  <si>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</si>
  <si>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</si>
  <si>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</si>
  <si>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</si>
  <si>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</si>
  <si>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</si>
  <si>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</si>
  <si>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</si>
  <si>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</si>
  <si>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</si>
  <si>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</si>
  <si>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</si>
  <si>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</si>
  <si>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</si>
  <si>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</si>
  <si>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</si>
  <si>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</si>
  <si>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</si>
  <si>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</si>
  <si>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</si>
  <si>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</si>
  <si>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</si>
  <si>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</si>
  <si>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</si>
  <si>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</si>
  <si>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</si>
  <si>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</si>
  <si>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</si>
  <si>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</si>
  <si>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</si>
  <si>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</si>
  <si>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</si>
  <si>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</si>
  <si>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</si>
  <si>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</si>
  <si>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</si>
  <si>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</si>
  <si>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</si>
  <si>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</si>
  <si>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</si>
  <si>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</si>
  <si>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</si>
  <si>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</si>
  <si>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</si>
  <si>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</si>
  <si>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</si>
  <si>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</si>
  <si>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</si>
  <si>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</si>
  <si>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</si>
  <si>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</si>
  <si>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</si>
  <si>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</si>
  <si>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</si>
  <si>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</si>
  <si>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</si>
  <si>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</si>
  <si>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</si>
  <si>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</si>
  <si>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</si>
  <si>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</si>
  <si>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</si>
  <si>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</si>
  <si>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</si>
  <si>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</si>
  <si>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</si>
  <si>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</si>
  <si>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</si>
  <si>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</si>
  <si>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</si>
  <si>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</si>
  <si>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</si>
  <si>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</si>
  <si>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</si>
  <si>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</si>
  <si>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</si>
  <si>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</si>
  <si>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</si>
  <si>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</si>
  <si>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</si>
  <si>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</si>
  <si>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</si>
  <si>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</si>
  <si>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</si>
  <si>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</si>
  <si>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</si>
  <si>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</si>
  <si>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</si>
  <si>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</si>
  <si>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</si>
  <si>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</si>
  <si>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</si>
  <si>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</si>
  <si>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</si>
  <si>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</si>
  <si>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</si>
  <si>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</si>
  <si>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</si>
  <si>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</si>
  <si>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</si>
  <si>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</si>
  <si>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</si>
  <si>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</si>
  <si>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</si>
  <si>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</si>
  <si>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</si>
  <si>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</si>
  <si>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</si>
  <si>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</si>
  <si>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</si>
  <si>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</si>
  <si>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</si>
  <si>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</si>
  <si>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</si>
  <si>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</si>
  <si>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</si>
  <si>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</si>
  <si>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</si>
  <si>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</si>
  <si>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</si>
  <si>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</si>
  <si>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</si>
  <si>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</si>
  <si>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</si>
  <si>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</si>
  <si>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</si>
  <si>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</si>
  <si>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</si>
  <si>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</si>
  <si>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</si>
  <si>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</si>
  <si>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</si>
  <si>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</si>
  <si>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</si>
  <si>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</si>
  <si>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</si>
  <si>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</si>
  <si>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</si>
  <si>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</si>
  <si>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</si>
  <si>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</si>
  <si>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</si>
  <si>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</si>
  <si>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</si>
  <si>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</si>
  <si>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</si>
  <si>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</si>
  <si>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</si>
  <si>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</si>
  <si>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</si>
  <si>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</si>
  <si>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</si>
  <si>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</si>
  <si>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</si>
  <si>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</si>
  <si>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</si>
  <si>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</si>
  <si>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</si>
  <si>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</si>
  <si>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</si>
  <si>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</si>
  <si>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</si>
  <si>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</si>
  <si>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</si>
  <si>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</si>
  <si>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</si>
  <si>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</si>
  <si>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</si>
  <si>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</si>
  <si>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</si>
  <si>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</si>
  <si>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</si>
  <si>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</si>
  <si>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</si>
  <si>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</si>
  <si>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</si>
  <si>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</si>
  <si>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</si>
  <si>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</si>
  <si>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</si>
  <si>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</si>
  <si>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</si>
  <si>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</si>
  <si>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</si>
  <si>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</si>
  <si>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</si>
  <si>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</si>
  <si>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</si>
  <si>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</si>
  <si>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</si>
  <si>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</si>
  <si>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</si>
  <si>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</si>
  <si>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</si>
  <si>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</si>
  <si>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</si>
  <si>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</si>
  <si>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</si>
  <si>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</si>
  <si>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</si>
  <si>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</si>
  <si>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</si>
  <si>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</si>
  <si>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</si>
  <si>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</si>
  <si>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</si>
  <si>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</si>
  <si>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</si>
  <si>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</si>
  <si>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</si>
  <si>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</si>
  <si>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</si>
  <si>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</si>
  <si>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</si>
  <si>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</si>
  <si>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</si>
  <si>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</si>
  <si>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</si>
  <si>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</si>
  <si>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</si>
  <si>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</si>
  <si>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</si>
  <si>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</si>
  <si>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</si>
  <si>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</si>
  <si>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</si>
  <si>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</si>
  <si>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</si>
  <si>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</si>
  <si>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</si>
  <si>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</si>
  <si>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</si>
  <si>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</si>
  <si>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</si>
  <si>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</si>
  <si>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</si>
  <si>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</si>
  <si>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</si>
  <si>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</si>
  <si>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</si>
  <si>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</si>
  <si>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</si>
  <si>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</si>
  <si>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</si>
  <si>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</si>
  <si>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</si>
  <si>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</si>
  <si>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</si>
  <si>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</si>
  <si>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</si>
  <si>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</si>
  <si>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</si>
  <si>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</si>
  <si>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</si>
  <si>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</si>
  <si>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</si>
  <si>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</si>
  <si>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</si>
  <si>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</si>
  <si>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</si>
  <si>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</si>
  <si>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</si>
  <si>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</si>
  <si>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</si>
  <si>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</si>
  <si>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</si>
  <si>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</si>
  <si>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</si>
  <si>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</si>
  <si>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</si>
  <si>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</si>
  <si>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</si>
  <si>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</si>
  <si>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</si>
  <si>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</si>
  <si>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</si>
  <si>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</si>
  <si>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</si>
  <si>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</si>
  <si>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</si>
  <si>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</si>
  <si>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</si>
  <si>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</si>
  <si>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</si>
  <si>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</si>
  <si>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</si>
  <si>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</si>
  <si>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</si>
  <si>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</si>
  <si>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</si>
  <si>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</si>
  <si>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</si>
  <si>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</si>
  <si>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</si>
  <si>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</si>
  <si>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</si>
  <si>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</si>
  <si>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</si>
  <si>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</si>
  <si>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</si>
  <si>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</si>
  <si>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</si>
  <si>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</si>
  <si>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</si>
  <si>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</si>
  <si>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</si>
  <si>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</si>
  <si>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</si>
  <si>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</si>
  <si>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</si>
  <si>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</si>
  <si>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</si>
  <si>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</si>
  <si>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</si>
  <si>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</si>
  <si>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</si>
  <si>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</si>
  <si>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</si>
  <si>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</si>
  <si>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</si>
  <si>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</si>
  <si>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</si>
  <si>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</si>
  <si>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</si>
  <si>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</si>
  <si>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</si>
  <si>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</si>
  <si>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</si>
  <si>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</si>
  <si>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</si>
  <si>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</si>
  <si>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</si>
  <si>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</si>
  <si>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</si>
  <si>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</si>
  <si>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</si>
  <si>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</si>
  <si>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</si>
  <si>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</si>
  <si>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</si>
  <si>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</si>
  <si>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</si>
  <si>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</si>
  <si>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</si>
  <si>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</si>
  <si>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</si>
  <si>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</si>
  <si>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</si>
  <si>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</si>
  <si>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</si>
  <si>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</si>
  <si>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</si>
  <si>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</si>
  <si>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</si>
  <si>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</si>
  <si>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</si>
  <si>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</si>
  <si>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</si>
  <si>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</si>
  <si>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</si>
  <si>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</si>
  <si>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</si>
  <si>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</si>
  <si>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</si>
  <si>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</si>
  <si>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</si>
  <si>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</si>
  <si>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</si>
  <si>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</si>
  <si>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</si>
  <si>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</si>
  <si>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</si>
  <si>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</si>
  <si>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</si>
  <si>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</si>
  <si>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</si>
  <si>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</si>
  <si>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</si>
  <si>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</si>
  <si>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</si>
  <si>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</si>
  <si>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</si>
  <si>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</si>
  <si>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</si>
  <si>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</si>
  <si>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</si>
  <si>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</si>
  <si>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</si>
  <si>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</si>
  <si>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</si>
  <si>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</si>
  <si>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</si>
  <si>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</si>
  <si>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</si>
  <si>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</si>
  <si>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</si>
  <si>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</si>
  <si>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</si>
  <si>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</si>
  <si>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</si>
  <si>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</si>
  <si>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</si>
  <si>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</si>
  <si>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</si>
  <si>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</si>
  <si>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</si>
  <si>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</si>
  <si>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</si>
  <si>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</si>
  <si>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</si>
  <si>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</si>
  <si>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</si>
  <si>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</si>
  <si>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</si>
  <si>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</si>
  <si>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</si>
  <si>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</si>
  <si>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</si>
  <si>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</si>
  <si>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</si>
  <si>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</si>
  <si>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</si>
  <si>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</si>
  <si>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</si>
  <si>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</si>
  <si>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</si>
  <si>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</si>
  <si>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</si>
  <si>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</si>
  <si>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</si>
  <si>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</si>
  <si>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</si>
  <si>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</si>
  <si>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</si>
  <si>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</si>
  <si>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</si>
  <si>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</si>
  <si>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</si>
  <si>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</si>
  <si>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</si>
  <si>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</si>
  <si>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</si>
  <si>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</si>
  <si>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</si>
  <si>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</si>
  <si>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</si>
  <si>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</si>
  <si>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</si>
  <si>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</si>
  <si>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</si>
  <si>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</si>
  <si>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</si>
  <si>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</si>
  <si>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</si>
  <si>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</si>
  <si>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</si>
  <si>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</si>
  <si>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</si>
  <si>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</si>
  <si>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</si>
  <si>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</si>
  <si>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</si>
  <si>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</si>
  <si>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</si>
  <si>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</si>
  <si>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</si>
  <si>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</si>
  <si>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</si>
  <si>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</si>
  <si>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</si>
  <si>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</si>
  <si>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</si>
  <si>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</si>
  <si>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</si>
  <si>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</si>
  <si>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</si>
  <si>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</si>
  <si>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</si>
  <si>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</si>
  <si>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</si>
  <si>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</si>
  <si>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</si>
  <si>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</si>
  <si>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</si>
  <si>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</si>
  <si>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</si>
  <si>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</si>
  <si>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</si>
  <si>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</si>
  <si>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</si>
  <si>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</si>
  <si>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</si>
  <si>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</si>
  <si>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</si>
  <si>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</si>
  <si>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</si>
  <si>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</si>
  <si>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</si>
  <si>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</si>
  <si>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</si>
  <si>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</si>
  <si>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</si>
  <si>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</si>
  <si>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</si>
  <si>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</si>
  <si>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</si>
  <si>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</si>
  <si>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</si>
  <si>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</si>
  <si>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</si>
  <si>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</si>
  <si>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</si>
  <si>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</si>
  <si>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</si>
  <si>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</si>
  <si>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</si>
  <si>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</si>
  <si>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</si>
  <si>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</si>
  <si>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</si>
  <si>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</si>
  <si>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</si>
  <si>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</si>
  <si>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</si>
  <si>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</si>
  <si>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</si>
  <si>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</si>
  <si>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</si>
  <si>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</si>
  <si>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</si>
  <si>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</si>
  <si>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</si>
  <si>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</si>
  <si>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</si>
  <si>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</si>
  <si>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</si>
  <si>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</si>
  <si>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</si>
  <si>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</si>
  <si>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</si>
  <si>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</si>
  <si>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</si>
  <si>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</si>
  <si>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</si>
  <si>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</si>
  <si>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</si>
  <si>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</si>
  <si>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</si>
  <si>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</si>
  <si>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</si>
  <si>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</si>
  <si>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</si>
  <si>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</si>
  <si>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</si>
  <si>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</si>
  <si>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</si>
  <si>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</si>
  <si>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</si>
  <si>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</si>
  <si>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</si>
  <si>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</si>
  <si>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</si>
  <si>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</si>
  <si>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</si>
  <si>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</si>
  <si>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</si>
  <si>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</si>
  <si>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</si>
  <si>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</si>
  <si>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</si>
  <si>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</si>
  <si>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</si>
  <si>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</si>
  <si>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</si>
  <si>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</si>
  <si>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</si>
  <si>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</si>
  <si>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</si>
  <si>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</si>
  <si>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</si>
  <si>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</si>
  <si>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</si>
  <si>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</si>
  <si>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</si>
  <si>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</si>
  <si>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</si>
  <si>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</si>
  <si>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</si>
  <si>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</si>
  <si>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</si>
  <si>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</si>
  <si>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</si>
  <si>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</si>
  <si>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</si>
  <si>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</si>
  <si>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</si>
  <si>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</si>
  <si>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</si>
  <si>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</si>
  <si>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</si>
  <si>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</si>
  <si>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</si>
  <si>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</si>
  <si>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</si>
  <si>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</si>
  <si>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</si>
  <si>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</si>
  <si>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</si>
  <si>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</si>
  <si>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</si>
  <si>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</si>
  <si>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</si>
  <si>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</si>
  <si>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</si>
  <si>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</si>
  <si>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</si>
  <si>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</si>
  <si>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</si>
  <si>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</si>
  <si>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</si>
  <si>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</si>
  <si>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</si>
  <si>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</si>
  <si>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</si>
  <si>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</si>
  <si>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</si>
  <si>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</si>
  <si>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</si>
  <si>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</si>
  <si>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</si>
  <si>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</si>
  <si>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</si>
  <si>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</si>
  <si>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</si>
  <si>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</si>
  <si>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</si>
  <si>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</si>
  <si>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</si>
  <si>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</si>
  <si>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</si>
  <si>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</si>
  <si>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</si>
  <si>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</si>
  <si>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</si>
  <si>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</si>
  <si>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</si>
  <si>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</si>
  <si>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</si>
  <si>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</si>
  <si>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</si>
  <si>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</si>
  <si>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</si>
  <si>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</si>
  <si>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</si>
  <si>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</si>
  <si>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</si>
  <si>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</si>
  <si>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</si>
  <si>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</si>
  <si>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</si>
  <si>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</si>
  <si>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</si>
  <si>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</si>
  <si>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</si>
  <si>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</si>
  <si>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</si>
  <si>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</si>
  <si>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</si>
  <si>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</si>
  <si>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</si>
  <si>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</si>
  <si>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</si>
  <si>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</si>
  <si>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</si>
  <si>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</si>
  <si>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</si>
  <si>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</si>
  <si>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</si>
  <si>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</si>
  <si>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</si>
  <si>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</si>
  <si>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</si>
  <si>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</si>
  <si>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</si>
  <si>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</si>
  <si>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</si>
  <si>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</si>
  <si>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</si>
  <si>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</si>
  <si>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</si>
  <si>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</si>
  <si>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</si>
  <si>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</si>
  <si>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</si>
  <si>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</si>
  <si>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</si>
  <si>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</si>
  <si>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</si>
  <si>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</si>
  <si>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</si>
  <si>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</si>
  <si>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</si>
  <si>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</si>
  <si>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</si>
  <si>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</si>
  <si>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</si>
  <si>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</si>
  <si>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</si>
  <si>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</si>
  <si>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</si>
  <si>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</si>
  <si>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</si>
  <si>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</si>
  <si>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</si>
  <si>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</si>
  <si>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</si>
  <si>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</si>
  <si>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</si>
  <si>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</si>
  <si>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</si>
  <si>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</si>
  <si>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</si>
  <si>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</si>
  <si>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</si>
  <si>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</si>
  <si>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</si>
  <si>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</si>
  <si>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</si>
  <si>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</si>
  <si>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</si>
  <si>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</si>
  <si>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</si>
  <si>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</si>
  <si>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</si>
  <si>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</si>
  <si>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</si>
  <si>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</si>
  <si>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</si>
  <si>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</si>
  <si>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</si>
  <si>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</si>
  <si>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</si>
  <si>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</si>
  <si>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</si>
  <si>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</si>
  <si>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</si>
  <si>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</si>
  <si>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</si>
  <si>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</si>
  <si>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</si>
  <si>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</si>
  <si>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</si>
  <si>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</si>
  <si>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</si>
  <si>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</si>
  <si>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</si>
  <si>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</si>
  <si>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</si>
  <si>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</si>
  <si>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</si>
  <si>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</si>
  <si>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</si>
  <si>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</si>
  <si>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</si>
  <si>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</si>
  <si>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</si>
  <si>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</si>
  <si>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</si>
  <si>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</si>
  <si>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</si>
  <si>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</si>
  <si>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</si>
  <si>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</si>
  <si>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</si>
  <si>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</si>
  <si>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</si>
  <si>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</si>
  <si>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</si>
  <si>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</si>
  <si>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</si>
  <si>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</si>
  <si>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</si>
  <si>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</si>
  <si>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</si>
  <si>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</si>
  <si>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</si>
  <si>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</si>
  <si>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</si>
  <si>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</si>
  <si>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</si>
  <si>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</si>
  <si>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</si>
  <si>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</si>
  <si>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</si>
  <si>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</si>
  <si>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</si>
  <si>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</si>
  <si>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</si>
  <si>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</si>
  <si>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</si>
  <si>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</si>
  <si>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</si>
  <si>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</si>
  <si>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</si>
  <si>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</si>
  <si>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</si>
  <si>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</si>
  <si>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</si>
  <si>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</si>
  <si>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</si>
  <si>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</si>
  <si>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</si>
  <si>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</si>
  <si>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</si>
  <si>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</si>
  <si>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</si>
  <si>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</si>
  <si>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</si>
  <si>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</si>
  <si>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</si>
  <si>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</si>
  <si>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</si>
  <si>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</si>
  <si>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</si>
  <si>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</si>
  <si>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</si>
  <si>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</si>
  <si>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</si>
  <si>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</si>
  <si>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</si>
  <si>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</si>
  <si>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</si>
  <si>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</si>
  <si>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</si>
  <si>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</si>
  <si>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</si>
  <si>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</si>
  <si>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</si>
  <si>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</si>
  <si>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</si>
  <si>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</si>
  <si>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</si>
  <si>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</si>
  <si>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</si>
  <si>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</si>
  <si>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</si>
  <si>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</si>
  <si>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</si>
  <si>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</si>
  <si>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</si>
  <si>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</si>
  <si>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</si>
  <si>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</si>
  <si>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</si>
  <si>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</si>
  <si>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</si>
  <si>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</si>
  <si>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</si>
  <si>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</si>
  <si>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</si>
  <si>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</si>
  <si>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</si>
  <si>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</si>
  <si>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</si>
  <si>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</si>
  <si>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</si>
  <si>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</si>
  <si>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</si>
  <si>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</si>
  <si>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</si>
  <si>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</si>
  <si>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</si>
  <si>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</si>
  <si>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</si>
  <si>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</si>
  <si>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</si>
  <si>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</si>
  <si>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</si>
  <si>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</si>
  <si>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</si>
  <si>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</si>
  <si>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</si>
  <si>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</si>
  <si>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</si>
  <si>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</si>
  <si>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</si>
  <si>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</si>
  <si>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</si>
  <si>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</si>
  <si>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</si>
  <si>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</si>
  <si>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</si>
  <si>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</si>
  <si>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</si>
  <si>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</si>
  <si>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</si>
  <si>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</si>
  <si>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</si>
  <si>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</si>
  <si>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</si>
  <si>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</si>
  <si>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</si>
  <si>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</si>
  <si>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</si>
  <si>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</si>
  <si>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</si>
  <si>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</si>
  <si>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</si>
  <si>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</si>
  <si>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</si>
  <si>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</si>
  <si>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</si>
  <si>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</si>
  <si>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</si>
  <si>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</si>
  <si>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</si>
  <si>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</si>
  <si>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</si>
  <si>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</si>
  <si>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</si>
  <si>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</si>
  <si>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</si>
  <si>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</si>
  <si>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</si>
  <si>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</si>
  <si>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</si>
  <si>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</si>
  <si>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</si>
  <si>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</si>
  <si>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</si>
  <si>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</si>
  <si>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</si>
  <si>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</si>
  <si>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</si>
  <si>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</si>
  <si>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</si>
  <si>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</si>
  <si>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</si>
  <si>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</si>
  <si>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</si>
  <si>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</si>
  <si>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</si>
  <si>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</si>
  <si>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</si>
  <si>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</si>
  <si>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</si>
  <si>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</si>
  <si>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</si>
  <si>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</si>
  <si>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</si>
  <si>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</si>
  <si>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</si>
  <si>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</si>
  <si>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</si>
  <si>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</si>
  <si>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</si>
  <si>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</si>
  <si>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</si>
  <si>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</si>
  <si>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</si>
  <si>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</si>
  <si>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</si>
  <si>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</si>
  <si>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</si>
  <si>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</si>
  <si>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</si>
  <si>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</si>
  <si>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</si>
  <si>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</si>
  <si>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</si>
  <si>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</si>
  <si>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</si>
  <si>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</si>
  <si>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</si>
  <si>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</si>
  <si>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</si>
  <si>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</si>
  <si>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</si>
  <si>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</si>
  <si>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</si>
  <si>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</si>
  <si>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</si>
  <si>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</si>
  <si>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</si>
  <si>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</si>
  <si>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</si>
  <si>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</si>
  <si>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</si>
  <si>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</si>
  <si>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</si>
  <si>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</si>
  <si>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</si>
  <si>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</si>
  <si>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</si>
  <si>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</si>
  <si>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</si>
  <si>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</si>
  <si>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</si>
  <si>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</si>
  <si>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</si>
  <si>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</si>
  <si>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</si>
  <si>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</si>
  <si>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</si>
  <si>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</si>
  <si>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</si>
  <si>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</si>
  <si>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</si>
  <si>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</si>
  <si>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</si>
  <si>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</si>
  <si>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</si>
  <si>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</si>
  <si>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</si>
  <si>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</si>
  <si>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</si>
  <si>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</si>
  <si>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</si>
  <si>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</si>
  <si>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</si>
  <si>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</si>
  <si>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</si>
  <si>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</si>
  <si>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</si>
  <si>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</si>
  <si>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</si>
  <si>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</si>
  <si>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</si>
  <si>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</si>
  <si>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</si>
  <si>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</si>
  <si>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</si>
  <si>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</si>
  <si>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</si>
  <si>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</si>
  <si>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</si>
  <si>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</si>
  <si>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</si>
  <si>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</si>
  <si>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</si>
  <si>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</si>
  <si>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</si>
  <si>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</si>
  <si>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</si>
  <si>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</si>
  <si>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</si>
  <si>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</si>
  <si>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</si>
  <si>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</si>
  <si>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</si>
  <si>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</si>
  <si>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</si>
  <si>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</si>
  <si>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</si>
  <si>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</si>
  <si>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</si>
  <si>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</si>
  <si>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</si>
  <si>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</si>
  <si>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</si>
  <si>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</si>
  <si>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</si>
  <si>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</si>
  <si>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</si>
  <si>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</si>
  <si>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</si>
  <si>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</si>
  <si>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</si>
  <si>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</si>
  <si>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</si>
  <si>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</si>
  <si>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</si>
  <si>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</si>
  <si>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</si>
  <si>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</si>
  <si>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</si>
  <si>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</si>
  <si>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</si>
  <si>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</si>
  <si>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</si>
  <si>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</si>
  <si>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</si>
  <si>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</si>
  <si>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</si>
  <si>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</si>
  <si>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</si>
  <si>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</si>
  <si>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</si>
  <si>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</si>
  <si>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</si>
  <si>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</si>
  <si>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</si>
  <si>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</si>
  <si>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</si>
  <si>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</si>
  <si>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</si>
  <si>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</si>
  <si>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</si>
  <si>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</si>
  <si>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</si>
  <si>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</si>
  <si>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</si>
  <si>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</si>
  <si>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</si>
  <si>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</si>
  <si>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</si>
  <si>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</si>
  <si>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</si>
  <si>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</si>
  <si>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</si>
  <si>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</si>
  <si>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</si>
  <si>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</si>
  <si>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</si>
  <si>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</si>
  <si>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</si>
  <si>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</si>
  <si>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</si>
  <si>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</si>
  <si>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</si>
  <si>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</si>
  <si>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</si>
  <si>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</si>
  <si>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</si>
  <si>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</si>
  <si>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</si>
  <si>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</si>
  <si>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</si>
  <si>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</si>
  <si>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</si>
  <si>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</si>
  <si>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</si>
  <si>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</si>
  <si>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</si>
  <si>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</si>
  <si>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</si>
  <si>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</si>
  <si>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</si>
  <si>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</si>
  <si>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</si>
  <si>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</si>
  <si>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</si>
  <si>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</si>
  <si>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</si>
  <si>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</si>
  <si>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</si>
  <si>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</si>
  <si>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</si>
  <si>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</si>
  <si>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</si>
  <si>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</si>
  <si>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</si>
  <si>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</si>
  <si>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</si>
  <si>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</si>
  <si>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</si>
  <si>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</si>
  <si>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</si>
  <si>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</si>
  <si>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</si>
  <si>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</si>
  <si>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</si>
  <si>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</si>
  <si>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</si>
  <si>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</si>
  <si>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</si>
  <si>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</si>
  <si>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</si>
  <si>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</si>
  <si>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</si>
  <si>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</si>
  <si>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</si>
  <si>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</si>
  <si>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</si>
  <si>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</si>
  <si>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</si>
  <si>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</si>
  <si>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</si>
  <si>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</si>
  <si>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</si>
  <si>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</si>
  <si>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</si>
  <si>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</si>
  <si>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</si>
  <si>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</si>
  <si>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</si>
  <si>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</si>
  <si>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</si>
  <si>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</si>
  <si>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</si>
  <si>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</si>
  <si>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</si>
  <si>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</si>
  <si>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</si>
  <si>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</si>
  <si>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</si>
  <si>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</si>
  <si>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</si>
  <si>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</si>
  <si>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</si>
  <si>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</si>
  <si>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</si>
  <si>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</si>
  <si>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</si>
  <si>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</si>
  <si>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</si>
  <si>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</si>
  <si>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</si>
  <si>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</si>
  <si>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</si>
  <si>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</si>
  <si>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</si>
  <si>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</si>
  <si>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</si>
  <si>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</si>
  <si>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</si>
  <si>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</si>
  <si>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</si>
  <si>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</si>
  <si>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</si>
  <si>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</si>
  <si>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</si>
  <si>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</si>
  <si>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</si>
  <si>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</si>
  <si>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</si>
  <si>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</si>
  <si>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</si>
  <si>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</si>
  <si>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</si>
  <si>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</si>
  <si>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</si>
  <si>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</si>
  <si>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</si>
  <si>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</si>
  <si>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</si>
  <si>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</si>
  <si>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</si>
  <si>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</si>
  <si>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</si>
  <si>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</si>
  <si>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</si>
  <si>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</si>
  <si>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</si>
  <si>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</si>
  <si>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</si>
  <si>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</si>
  <si>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</si>
  <si>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</si>
  <si>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</si>
  <si>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</si>
  <si>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</si>
  <si>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</si>
  <si>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</si>
  <si>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</si>
  <si>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</si>
  <si>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</si>
  <si>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</si>
  <si>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</si>
  <si>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</si>
  <si>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</si>
  <si>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</si>
  <si>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</si>
  <si>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</si>
  <si>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</si>
  <si>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</si>
  <si>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</si>
  <si>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</si>
  <si>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</si>
  <si>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</si>
  <si>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</si>
  <si>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</si>
  <si>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</si>
  <si>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</si>
  <si>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</si>
  <si>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</si>
  <si>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</si>
  <si>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</si>
  <si>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</si>
  <si>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</si>
  <si>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</si>
  <si>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</si>
  <si>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</si>
  <si>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</si>
  <si>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</si>
  <si>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</si>
  <si>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</si>
  <si>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</si>
  <si>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</si>
  <si>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</si>
  <si>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</si>
  <si>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</si>
  <si>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</si>
  <si>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</si>
  <si>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</si>
  <si>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</si>
  <si>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</si>
  <si>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</si>
  <si>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</si>
  <si>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</si>
  <si>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</si>
  <si>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</si>
  <si>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</si>
  <si>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</si>
  <si>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</si>
  <si>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</si>
  <si>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</si>
  <si>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</si>
  <si>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</si>
  <si>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</si>
  <si>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</si>
  <si>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</si>
  <si>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</si>
  <si>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</si>
  <si>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</si>
  <si>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</si>
  <si>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</si>
  <si>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</si>
  <si>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</si>
  <si>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</si>
  <si>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</si>
  <si>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</si>
  <si>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</si>
  <si>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</si>
  <si>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</si>
  <si>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</si>
  <si>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</si>
  <si>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</si>
  <si>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</si>
  <si>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</si>
  <si>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</si>
  <si>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</si>
  <si>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</si>
  <si>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</si>
  <si>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</si>
  <si>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</si>
  <si>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</si>
  <si>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</si>
  <si>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</si>
  <si>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</si>
  <si>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</si>
  <si>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</si>
  <si>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</si>
  <si>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</si>
  <si>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</si>
  <si>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</si>
  <si>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</si>
  <si>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</si>
  <si>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</si>
  <si>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</si>
  <si>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</si>
  <si>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</si>
  <si>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</si>
  <si>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</si>
  <si>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</si>
  <si>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</si>
  <si>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</si>
  <si>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</si>
  <si>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</si>
  <si>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</si>
  <si>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</si>
  <si>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</si>
  <si>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</si>
  <si>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</si>
  <si>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</si>
  <si>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</si>
  <si>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</si>
  <si>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</si>
  <si>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</si>
  <si>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</si>
  <si>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</si>
  <si>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</si>
  <si>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</si>
  <si>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</si>
  <si>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</si>
  <si>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</si>
  <si>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</si>
  <si>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</si>
  <si>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</si>
  <si>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</si>
  <si>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</si>
  <si>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</si>
  <si>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</si>
  <si>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</si>
  <si>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</si>
  <si>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</si>
  <si>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</si>
  <si>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</si>
  <si>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</si>
  <si>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</si>
  <si>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</si>
  <si>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</si>
  <si>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</si>
  <si>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</si>
  <si>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</si>
  <si>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</si>
  <si>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</si>
  <si>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</si>
  <si>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</si>
  <si>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</si>
  <si>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</si>
  <si>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</si>
  <si>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</si>
  <si>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</si>
  <si>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</si>
  <si>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</si>
  <si>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</si>
  <si>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</si>
  <si>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</si>
  <si>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</si>
  <si>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</si>
  <si>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</si>
  <si>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</si>
  <si>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</si>
  <si>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</si>
  <si>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</si>
  <si>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</si>
  <si>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</si>
  <si>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</si>
  <si>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</si>
  <si>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</si>
  <si>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</si>
  <si>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</si>
  <si>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</si>
  <si>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</si>
  <si>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</si>
  <si>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</si>
  <si>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</si>
  <si>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</si>
  <si>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</si>
  <si>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</si>
  <si>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</si>
  <si>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</si>
  <si>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</si>
  <si>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</si>
  <si>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</si>
  <si>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</si>
  <si>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</si>
  <si>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</si>
  <si>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</si>
  <si>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</si>
  <si>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</si>
  <si>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</si>
  <si>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</si>
  <si>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</si>
  <si>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</si>
  <si>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</si>
  <si>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</si>
  <si>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</si>
  <si>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</si>
  <si>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</si>
  <si>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</si>
  <si>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</si>
  <si>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</si>
  <si>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</si>
  <si>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</si>
  <si>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</si>
  <si>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</si>
  <si>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</si>
  <si>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</si>
  <si>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</si>
  <si>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</si>
  <si>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</si>
  <si>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</si>
  <si>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</si>
  <si>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</si>
  <si>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</si>
  <si>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</si>
  <si>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</si>
  <si>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</si>
  <si>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</si>
  <si>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</si>
  <si>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</si>
  <si>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</si>
  <si>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</si>
  <si>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</si>
  <si>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</si>
  <si>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</si>
  <si>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</si>
  <si>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</si>
  <si>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</si>
  <si>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</si>
  <si>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</si>
  <si>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</si>
  <si>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</si>
  <si>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</si>
  <si>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</si>
  <si>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</si>
  <si>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</si>
  <si>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</si>
  <si>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</si>
  <si>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</si>
  <si>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</si>
  <si>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</si>
  <si>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</si>
  <si>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</si>
  <si>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</si>
  <si>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</si>
  <si>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</si>
  <si>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</si>
  <si>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</si>
  <si>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</si>
  <si>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</si>
  <si>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</si>
  <si>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</si>
  <si>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</si>
  <si>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</si>
  <si>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</si>
  <si>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</si>
  <si>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</si>
  <si>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</si>
  <si>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</si>
  <si>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</si>
  <si>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</si>
  <si>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</si>
  <si>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</si>
  <si>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</si>
  <si>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</si>
  <si>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</si>
  <si>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</si>
  <si>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</si>
  <si>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</si>
  <si>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</si>
  <si>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</si>
  <si>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</si>
  <si>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</si>
  <si>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</si>
  <si>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</si>
  <si>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</si>
  <si>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</si>
  <si>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</si>
  <si>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</si>
  <si>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</si>
  <si>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</si>
  <si>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</si>
  <si>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</si>
  <si>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</si>
  <si>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</si>
  <si>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</si>
  <si>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</si>
  <si>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</si>
  <si>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</si>
  <si>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</si>
  <si>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</si>
  <si>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</si>
  <si>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</si>
  <si>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</si>
  <si>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</si>
  <si>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</si>
  <si>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</si>
  <si>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</si>
  <si>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</si>
  <si>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</si>
  <si>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</si>
  <si>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</si>
  <si>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</si>
  <si>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</si>
  <si>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</si>
  <si>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</si>
  <si>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</si>
  <si>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</si>
  <si>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</si>
  <si>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</si>
  <si>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</si>
  <si>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</si>
  <si>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</si>
  <si>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</si>
  <si>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</si>
  <si>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</si>
  <si>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</si>
  <si>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</si>
  <si>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</si>
  <si>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</si>
  <si>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</si>
  <si>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</si>
  <si>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</si>
  <si>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</si>
  <si>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</si>
  <si>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</si>
  <si>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</si>
  <si>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</si>
  <si>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</si>
  <si>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</si>
  <si>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</si>
  <si>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</si>
  <si>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</si>
  <si>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</si>
  <si>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</si>
  <si>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</si>
  <si>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</si>
  <si>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</si>
  <si>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</si>
  <si>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</si>
  <si>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</si>
  <si>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</si>
  <si>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</si>
  <si>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</si>
  <si>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</si>
  <si>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</si>
  <si>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</si>
  <si>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</si>
  <si>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</si>
  <si>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</si>
  <si>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</si>
  <si>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</si>
  <si>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</si>
  <si>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</si>
  <si>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</si>
  <si>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</si>
  <si>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</si>
  <si>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</si>
  <si>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</si>
  <si>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</si>
  <si>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</si>
  <si>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</si>
  <si>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</si>
  <si>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</si>
  <si>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</si>
  <si>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</si>
  <si>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</si>
  <si>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</si>
  <si>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</si>
  <si>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</si>
  <si>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</si>
  <si>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</si>
  <si>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</si>
  <si>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</si>
  <si>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</si>
  <si>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</si>
  <si>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</si>
  <si>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</si>
  <si>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</si>
  <si>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</si>
  <si>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</si>
  <si>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</si>
  <si>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</si>
  <si>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</si>
  <si>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</si>
  <si>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</si>
  <si>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</si>
  <si>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</si>
  <si>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</si>
  <si>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</si>
  <si>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</si>
  <si>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</si>
  <si>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</si>
  <si>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</si>
  <si>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</si>
  <si>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</si>
  <si>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</si>
  <si>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</si>
  <si>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</si>
  <si>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</si>
  <si>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</si>
  <si>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</si>
  <si>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</si>
  <si>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</si>
  <si>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</si>
  <si>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</si>
  <si>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</si>
  <si>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</si>
  <si>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</si>
  <si>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</si>
  <si>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</si>
  <si>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</si>
  <si>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</si>
  <si>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</si>
  <si>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</si>
  <si>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</si>
  <si>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</si>
  <si>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</si>
  <si>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</si>
  <si>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</si>
  <si>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</si>
  <si>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</si>
  <si>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</si>
  <si>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</si>
  <si>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</si>
  <si>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</si>
  <si>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</si>
  <si>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</si>
  <si>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</si>
  <si>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</si>
  <si>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</si>
  <si>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</si>
  <si>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</si>
  <si>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</si>
  <si>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</si>
  <si>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</si>
  <si>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</si>
  <si>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</si>
  <si>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</si>
  <si>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</si>
  <si>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</si>
  <si>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</si>
  <si>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</si>
  <si>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</si>
  <si>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</si>
  <si>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</si>
  <si>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</si>
  <si>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</si>
  <si>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</si>
  <si>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</si>
  <si>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</si>
  <si>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</si>
  <si>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</si>
  <si>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</si>
  <si>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</si>
  <si>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</si>
  <si>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</si>
  <si>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</si>
  <si>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</si>
  <si>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</si>
  <si>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</si>
  <si>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</si>
  <si>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</si>
  <si>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</si>
  <si>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</si>
  <si>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</si>
  <si>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</si>
  <si>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</si>
  <si>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</si>
  <si>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</si>
  <si>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</si>
  <si>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</si>
  <si>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</si>
  <si>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</si>
  <si>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</si>
  <si>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</si>
  <si>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</si>
  <si>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</si>
  <si>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</si>
  <si>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</si>
  <si>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</si>
  <si>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</si>
  <si>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</si>
  <si>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</si>
  <si>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</si>
  <si>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</si>
  <si>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</si>
  <si>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</si>
  <si>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</si>
  <si>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</si>
  <si>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</si>
  <si>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</si>
  <si>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</si>
  <si>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</si>
  <si>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</si>
  <si>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</si>
  <si>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</si>
  <si>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</si>
  <si>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</si>
  <si>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</si>
  <si>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</si>
  <si>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</si>
  <si>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</si>
  <si>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</si>
  <si>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</si>
  <si>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</si>
  <si>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</si>
  <si>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</si>
  <si>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</si>
  <si>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</si>
  <si>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</si>
  <si>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</si>
  <si>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</si>
  <si>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</si>
  <si>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</si>
  <si>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</si>
  <si>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</si>
  <si>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</si>
  <si>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</si>
  <si>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</si>
  <si>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</si>
  <si>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</si>
  <si>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</si>
  <si>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</si>
  <si>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</si>
  <si>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</si>
  <si>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</si>
  <si>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</si>
  <si>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</si>
  <si>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</si>
  <si>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</si>
  <si>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</si>
  <si>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</si>
  <si>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</si>
  <si>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</si>
  <si>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</si>
  <si>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</si>
  <si>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</si>
  <si>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</si>
  <si>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</si>
  <si>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</si>
  <si>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</si>
  <si>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</si>
  <si>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</si>
  <si>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</si>
  <si>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</si>
  <si>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</si>
  <si>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</si>
  <si>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</si>
  <si>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</si>
  <si>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</si>
  <si>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</si>
  <si>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</si>
  <si>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</si>
  <si>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</si>
  <si>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</si>
  <si>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</si>
  <si>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</si>
  <si>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</si>
  <si>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</si>
  <si>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</si>
  <si>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</si>
  <si>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</si>
  <si>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</si>
  <si>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</si>
  <si>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</si>
  <si>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</si>
  <si>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</si>
  <si>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</si>
  <si>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</si>
  <si>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</si>
  <si>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</si>
  <si>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</si>
  <si>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</si>
  <si>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</si>
  <si>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</si>
  <si>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</si>
  <si>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</si>
  <si>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</si>
  <si>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</si>
  <si>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</si>
  <si>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</si>
  <si>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</si>
  <si>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</si>
  <si>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</si>
  <si>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</si>
  <si>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</si>
  <si>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</si>
  <si>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</si>
  <si>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</si>
  <si>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</si>
  <si>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</si>
  <si>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</si>
  <si>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</si>
  <si>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</si>
  <si>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</si>
  <si>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</si>
  <si>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</si>
  <si>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</si>
  <si>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</si>
  <si>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</si>
  <si>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</si>
  <si>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</si>
  <si>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</si>
  <si>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</si>
  <si>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</si>
  <si>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</si>
  <si>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</si>
  <si>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</si>
  <si>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</si>
  <si>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</si>
  <si>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</si>
  <si>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</si>
  <si>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</si>
  <si>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</si>
  <si>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</si>
  <si>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</si>
  <si>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</si>
  <si>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</si>
  <si>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</si>
  <si>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</si>
  <si>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</si>
  <si>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</si>
  <si>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</si>
  <si>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</si>
  <si>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</si>
  <si>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</si>
  <si>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</si>
  <si>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</si>
  <si>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</si>
  <si>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</si>
  <si>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</si>
  <si>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</si>
  <si>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</si>
  <si>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</si>
  <si>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</si>
  <si>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</si>
  <si>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</si>
  <si>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</si>
  <si>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</si>
  <si>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</si>
  <si>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</si>
  <si>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</si>
  <si>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</si>
  <si>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</si>
  <si>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</si>
  <si>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</si>
  <si>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</si>
  <si>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</si>
  <si>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</si>
  <si>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</si>
  <si>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</si>
  <si>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</si>
  <si>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</si>
  <si>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</si>
  <si>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</si>
  <si>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</si>
  <si>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</si>
  <si>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</si>
  <si>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</si>
  <si>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</si>
  <si>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</si>
  <si>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</si>
  <si>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</si>
  <si>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</si>
  <si>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</si>
  <si>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</si>
  <si>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</si>
  <si>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</si>
  <si>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</si>
  <si>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</si>
  <si>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</si>
  <si>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</si>
  <si>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</si>
  <si>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</si>
  <si>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</si>
  <si>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</si>
  <si>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</si>
  <si>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</si>
  <si>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</si>
  <si>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</si>
  <si>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</si>
  <si>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</si>
  <si>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</si>
  <si>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</si>
  <si>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</si>
  <si>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</si>
  <si>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</si>
  <si>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</si>
  <si>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</si>
  <si>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</si>
  <si>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</si>
  <si>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</si>
  <si>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</si>
  <si>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</si>
  <si>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</si>
  <si>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</si>
  <si>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</si>
  <si>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</si>
  <si>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</si>
  <si>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</si>
  <si>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</si>
  <si>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</si>
  <si>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</si>
  <si>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</si>
  <si>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</si>
  <si>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</si>
  <si>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</si>
  <si>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</si>
  <si>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</si>
  <si>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</si>
  <si>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</si>
  <si>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</si>
  <si>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</si>
  <si>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</si>
  <si>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</si>
  <si>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</si>
  <si>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</si>
  <si>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</si>
  <si>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</si>
  <si>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</si>
  <si>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</si>
  <si>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</si>
  <si>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</si>
  <si>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</si>
  <si>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</si>
  <si>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</si>
  <si>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</si>
  <si>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</si>
  <si>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</si>
  <si>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</si>
  <si>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</si>
  <si>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</si>
  <si>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</si>
  <si>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</si>
  <si>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</si>
  <si>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</si>
  <si>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</si>
  <si>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</si>
  <si>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</si>
  <si>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</si>
  <si>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</si>
  <si>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</si>
  <si>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</si>
  <si>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</si>
  <si>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</si>
  <si>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</si>
  <si>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</si>
  <si>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</si>
  <si>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</si>
  <si>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</si>
  <si>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</si>
  <si>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</si>
  <si>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</si>
  <si>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</si>
  <si>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</si>
  <si>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</si>
  <si>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</si>
  <si>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</si>
  <si>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</si>
  <si>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</si>
  <si>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</si>
  <si>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</si>
  <si>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</si>
  <si>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</si>
  <si>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</si>
  <si>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</si>
  <si>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</si>
  <si>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</si>
  <si>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</si>
  <si>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</si>
  <si>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</si>
  <si>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</si>
  <si>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</si>
  <si>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</si>
  <si>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</si>
  <si>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</si>
  <si>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</si>
  <si>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</si>
  <si>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</si>
  <si>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</si>
  <si>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</si>
  <si>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</si>
  <si>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</si>
  <si>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</si>
  <si>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</si>
  <si>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</si>
  <si>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</si>
  <si>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</si>
  <si>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</si>
  <si>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</si>
  <si>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</si>
  <si>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</si>
  <si>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</si>
  <si>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</si>
  <si>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</si>
  <si>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</si>
  <si>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</si>
  <si>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</si>
  <si>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</si>
  <si>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</si>
  <si>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</si>
  <si>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</si>
  <si>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</si>
  <si>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</si>
  <si>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</si>
  <si>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</si>
  <si>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</si>
  <si>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</si>
  <si>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</si>
  <si>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</si>
  <si>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</si>
  <si>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</si>
  <si>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</si>
  <si>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</si>
  <si>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</si>
  <si>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</si>
  <si>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</si>
  <si>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</si>
  <si>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</si>
  <si>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</si>
  <si>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</si>
  <si>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</si>
  <si>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</si>
  <si>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</si>
  <si>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</si>
  <si>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</si>
  <si>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</si>
  <si>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</si>
  <si>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</si>
  <si>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</si>
  <si>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</si>
  <si>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</si>
  <si>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</si>
  <si>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</si>
  <si>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</si>
  <si>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</si>
  <si>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</si>
  <si>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</si>
  <si>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</si>
  <si>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</si>
  <si>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</si>
  <si>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</si>
  <si>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</si>
  <si>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</si>
  <si>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</si>
  <si>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</si>
  <si>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</si>
  <si>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</si>
  <si>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</si>
  <si>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</si>
  <si>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</si>
  <si>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</si>
  <si>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</si>
  <si>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</si>
  <si>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</si>
  <si>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</si>
  <si>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</si>
  <si>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</si>
  <si>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</si>
  <si>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</si>
  <si>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</si>
  <si>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</si>
  <si>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</si>
  <si>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</si>
  <si>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</si>
  <si>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</si>
  <si>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</si>
  <si>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</si>
  <si>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</si>
  <si>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</si>
  <si>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</si>
  <si>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</si>
  <si>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</si>
  <si>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</si>
  <si>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</si>
  <si>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</si>
  <si>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</si>
  <si>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</si>
  <si>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</si>
  <si>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</si>
  <si>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</si>
  <si>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</si>
  <si>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</si>
  <si>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</si>
  <si>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</si>
  <si>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</si>
  <si>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</si>
  <si>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</si>
  <si>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</si>
  <si>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</si>
  <si>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</si>
  <si>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</si>
  <si>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</si>
  <si>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</si>
  <si>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</si>
  <si>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</si>
  <si>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</si>
  <si>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</si>
  <si>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</si>
  <si>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</si>
  <si>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</si>
  <si>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</si>
  <si>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</si>
  <si>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</si>
  <si>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</si>
  <si>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</si>
  <si>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</si>
  <si>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</si>
  <si>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</si>
  <si>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</si>
  <si>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</si>
  <si>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</si>
  <si>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</si>
  <si>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</si>
  <si>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</si>
  <si>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</si>
  <si>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</si>
  <si>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</si>
  <si>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</si>
  <si>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</si>
  <si>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</si>
  <si>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</si>
  <si>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</si>
  <si>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</si>
  <si>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</si>
  <si>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</si>
  <si>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</si>
  <si>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</si>
  <si>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</si>
  <si>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</si>
  <si>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</si>
  <si>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</si>
  <si>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</si>
  <si>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</si>
  <si>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</si>
  <si>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</si>
  <si>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</si>
  <si>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</si>
  <si>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</si>
  <si>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</si>
  <si>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</si>
  <si>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</si>
  <si>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</si>
  <si>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</si>
  <si>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</si>
  <si>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</si>
  <si>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</si>
  <si>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</si>
  <si>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</si>
  <si>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</si>
  <si>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</si>
  <si>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</si>
  <si>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</si>
  <si>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</si>
  <si>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</si>
  <si>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</si>
  <si>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</si>
  <si>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</si>
  <si>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</si>
  <si>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</si>
  <si>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</si>
  <si>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</si>
  <si>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</si>
  <si>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</si>
  <si>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</si>
  <si>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</si>
  <si>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</si>
  <si>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</si>
  <si>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</si>
  <si>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</si>
  <si>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</si>
  <si>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</si>
  <si>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</si>
  <si>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</si>
  <si>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</si>
  <si>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</si>
  <si>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</si>
  <si>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</si>
  <si>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</si>
  <si>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</si>
  <si>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</si>
  <si>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</si>
  <si>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</si>
  <si>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</si>
  <si>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</si>
  <si>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</si>
  <si>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</si>
  <si>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</si>
  <si>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</si>
  <si>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</si>
  <si>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</si>
  <si>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</si>
  <si>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</si>
  <si>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</si>
  <si>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</si>
  <si>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</si>
  <si>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</si>
  <si>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</si>
  <si>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</si>
  <si>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</si>
  <si>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</si>
  <si>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</si>
  <si>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</si>
  <si>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</si>
  <si>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</si>
  <si>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</si>
  <si>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</si>
  <si>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</si>
  <si>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</si>
  <si>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</si>
  <si>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</si>
  <si>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</si>
  <si>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</si>
  <si>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</si>
  <si>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</si>
  <si>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</si>
  <si>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</si>
  <si>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</si>
  <si>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</si>
  <si>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</si>
  <si>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</si>
  <si>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</si>
  <si>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</si>
  <si>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</si>
  <si>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</si>
  <si>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</si>
  <si>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</si>
  <si>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</si>
  <si>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</si>
  <si>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</si>
  <si>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</si>
  <si>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</si>
  <si>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</si>
  <si>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</si>
  <si>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</si>
  <si>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</si>
  <si>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</si>
  <si>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</si>
  <si>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</si>
  <si>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</si>
  <si>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</si>
  <si>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</si>
  <si>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</si>
  <si>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</si>
  <si>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</si>
  <si>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</si>
  <si>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</si>
  <si>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</si>
  <si>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</si>
  <si>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</si>
  <si>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</si>
  <si>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</si>
  <si>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</si>
  <si>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</si>
  <si>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</si>
  <si>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</si>
  <si>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</si>
  <si>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</si>
  <si>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</si>
  <si>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</si>
  <si>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</si>
  <si>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</si>
  <si>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</si>
  <si>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</si>
  <si>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</si>
  <si>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</si>
  <si>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</si>
  <si>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</si>
  <si>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</si>
  <si>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</si>
  <si>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</si>
  <si>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</si>
  <si>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</si>
  <si>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</si>
  <si>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</si>
  <si>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</si>
  <si>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</si>
  <si>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</si>
  <si>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</si>
  <si>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</si>
  <si>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</si>
  <si>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</si>
  <si>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</si>
  <si>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</si>
  <si>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</si>
  <si>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</si>
  <si>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</si>
  <si>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</si>
  <si>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</si>
  <si>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</si>
  <si>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</si>
  <si>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</si>
  <si>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</si>
  <si>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</si>
  <si>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</si>
  <si>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</si>
  <si>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</si>
  <si>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</si>
  <si>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</si>
  <si>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</si>
  <si>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</si>
  <si>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</si>
  <si>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</si>
  <si>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</si>
  <si>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</si>
  <si>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</si>
  <si>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</si>
  <si>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</si>
  <si>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</si>
  <si>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</si>
  <si>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</si>
  <si>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</si>
  <si>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</si>
  <si>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</si>
  <si>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</si>
  <si>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</si>
  <si>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</si>
  <si>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</si>
  <si>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</si>
  <si>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</si>
  <si>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</si>
  <si>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</si>
  <si>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</si>
  <si>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</si>
  <si>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</si>
  <si>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</si>
  <si>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</si>
  <si>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</si>
  <si>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</si>
  <si>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</si>
  <si>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</si>
  <si>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</si>
  <si>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</si>
  <si>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</si>
  <si>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</si>
  <si>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</si>
  <si>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</si>
  <si>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</si>
  <si>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</si>
  <si>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</si>
  <si>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</si>
  <si>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</si>
  <si>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</si>
  <si>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</si>
  <si>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</si>
  <si>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</si>
  <si>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</si>
  <si>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</si>
  <si>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</si>
  <si>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</si>
  <si>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</si>
  <si>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</si>
  <si>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</si>
  <si>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</si>
  <si>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</si>
  <si>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</si>
  <si>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</si>
  <si>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</si>
  <si>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</si>
  <si>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</si>
  <si>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</si>
  <si>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</si>
  <si>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</si>
  <si>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</si>
  <si>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</si>
  <si>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</si>
  <si>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</si>
  <si>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</si>
  <si>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</si>
  <si>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</si>
  <si>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</si>
  <si>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</si>
  <si>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</si>
  <si>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</si>
  <si>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</si>
  <si>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</si>
  <si>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</si>
  <si>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</si>
  <si>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</si>
  <si>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</si>
  <si>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</si>
  <si>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</si>
  <si>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</si>
  <si>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</si>
  <si>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</si>
  <si>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</si>
  <si>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</si>
  <si>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</si>
  <si>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</si>
  <si>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</si>
  <si>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</si>
  <si>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</si>
  <si>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</si>
  <si>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</si>
  <si>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</si>
  <si>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</si>
  <si>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</si>
  <si>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</si>
  <si>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</si>
  <si>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</si>
  <si>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</si>
  <si>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</si>
  <si>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</si>
  <si>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</si>
  <si>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</si>
  <si>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</si>
  <si>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</si>
  <si>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</si>
  <si>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</si>
  <si>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</si>
  <si>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</si>
  <si>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</si>
  <si>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</si>
  <si>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</si>
  <si>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</si>
  <si>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</si>
  <si>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</si>
  <si>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</si>
  <si>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</si>
  <si>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</si>
  <si>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</si>
  <si>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</si>
  <si>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</si>
  <si>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</si>
  <si>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</si>
  <si>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</si>
  <si>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</si>
  <si>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</si>
  <si>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</si>
  <si>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</si>
  <si>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</si>
  <si>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</si>
  <si>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</si>
  <si>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</si>
  <si>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</si>
  <si>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</si>
  <si>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</si>
  <si>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</si>
  <si>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</si>
  <si>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</si>
  <si>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</si>
  <si>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</si>
  <si>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</si>
  <si>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</si>
  <si>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</si>
  <si>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</si>
  <si>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</si>
  <si>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</si>
  <si>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</si>
  <si>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</si>
  <si>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</si>
  <si>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</si>
  <si>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</si>
  <si>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</si>
  <si>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</si>
  <si>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</si>
  <si>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</si>
  <si>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</si>
  <si>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</si>
  <si>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</si>
  <si>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</si>
  <si>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</si>
  <si>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</si>
  <si>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</si>
  <si>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</si>
  <si>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</si>
  <si>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</si>
  <si>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</si>
  <si>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</si>
  <si>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</si>
  <si>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</si>
  <si>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</si>
  <si>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</si>
  <si>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</si>
  <si>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</si>
  <si>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</si>
  <si>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</si>
  <si>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</si>
  <si>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</si>
  <si>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</si>
  <si>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</si>
  <si>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</si>
  <si>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</si>
  <si>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</si>
  <si>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</si>
  <si>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</si>
  <si>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</si>
  <si>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</si>
  <si>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</si>
  <si>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</si>
  <si>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</si>
  <si>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</si>
  <si>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</si>
  <si>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</si>
  <si>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</si>
  <si>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</si>
  <si>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</si>
  <si>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</si>
  <si>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</si>
  <si>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</si>
  <si>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</si>
  <si>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</si>
  <si>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</si>
  <si>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</si>
  <si>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</si>
  <si>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</si>
  <si>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</si>
  <si>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</si>
  <si>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</si>
  <si>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</si>
  <si>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</si>
  <si>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</si>
  <si>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</si>
  <si>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</si>
  <si>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</si>
  <si>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</si>
  <si>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</si>
  <si>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</si>
  <si>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</si>
  <si>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</si>
  <si>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</si>
  <si>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</si>
  <si>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</si>
  <si>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</si>
  <si>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</si>
  <si>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</si>
  <si>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</si>
  <si>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</si>
  <si>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</si>
  <si>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</si>
  <si>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</si>
  <si>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</si>
  <si>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</si>
  <si>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</si>
  <si>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</si>
  <si>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</si>
  <si>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</si>
  <si>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</si>
  <si>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</si>
  <si>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</si>
  <si>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</si>
  <si>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</si>
  <si>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</si>
  <si>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</si>
  <si>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</si>
  <si>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</si>
  <si>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</si>
  <si>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</si>
  <si>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</si>
  <si>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</si>
  <si>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</si>
  <si>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</si>
  <si>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</si>
  <si>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</si>
  <si>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</si>
  <si>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</si>
  <si>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</si>
  <si>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</si>
  <si>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</si>
  <si>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</si>
  <si>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</si>
  <si>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</si>
  <si>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</si>
  <si>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</si>
  <si>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</si>
  <si>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</si>
  <si>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</si>
  <si>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</si>
  <si>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</si>
  <si>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</si>
  <si>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</si>
  <si>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</si>
  <si>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</si>
  <si>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</si>
  <si>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</si>
  <si>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</si>
  <si>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</si>
  <si>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</si>
  <si>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</si>
  <si>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</si>
  <si>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</si>
  <si>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</si>
  <si>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</si>
  <si>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</si>
  <si>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</si>
  <si>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</si>
  <si>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</si>
  <si>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</si>
  <si>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</si>
  <si>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</si>
  <si>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</si>
  <si>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</si>
  <si>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</si>
  <si>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</si>
  <si>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</si>
  <si>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</si>
  <si>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</si>
  <si>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</si>
  <si>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</si>
  <si>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</si>
  <si>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</si>
  <si>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</si>
  <si>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</si>
  <si>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</si>
  <si>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</si>
  <si>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</si>
  <si>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</si>
  <si>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</si>
  <si>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</si>
  <si>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</si>
  <si>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</si>
  <si>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</si>
  <si>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</si>
  <si>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</si>
  <si>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</si>
  <si>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</si>
  <si>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</si>
  <si>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</si>
  <si>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</si>
  <si>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</si>
  <si>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</si>
  <si>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</si>
  <si>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</si>
  <si>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</si>
  <si>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</si>
  <si>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</si>
  <si>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</si>
  <si>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</si>
  <si>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</si>
  <si>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</si>
  <si>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</si>
  <si>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</si>
  <si>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</si>
  <si>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</si>
  <si>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</si>
  <si>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</si>
  <si>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</si>
  <si>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</si>
  <si>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</si>
  <si>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</si>
  <si>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</si>
  <si>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</si>
  <si>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</si>
  <si>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</si>
  <si>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</si>
  <si>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</si>
  <si>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</si>
  <si>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</si>
  <si>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</si>
  <si>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</si>
  <si>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</si>
  <si>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</si>
  <si>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</si>
  <si>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</si>
  <si>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</si>
  <si>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</si>
  <si>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</si>
  <si>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</si>
  <si>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</si>
  <si>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</si>
  <si>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</si>
  <si>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</si>
  <si>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</si>
  <si>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</si>
  <si>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</si>
  <si>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</si>
  <si>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</si>
  <si>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</si>
  <si>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</si>
  <si>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</si>
  <si>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</si>
  <si>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</si>
  <si>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</si>
  <si>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</si>
  <si>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</si>
  <si>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</si>
  <si>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</si>
  <si>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</si>
  <si>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</si>
  <si>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</si>
  <si>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</si>
  <si>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</si>
  <si>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</si>
  <si>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</si>
  <si>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</si>
  <si>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</si>
  <si>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</si>
  <si>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</si>
  <si>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</si>
  <si>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</si>
  <si>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</si>
  <si>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</si>
  <si>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</si>
  <si>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</si>
  <si>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</si>
  <si>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</si>
  <si>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</si>
  <si>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</si>
  <si>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</si>
  <si>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</si>
  <si>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</si>
  <si>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</si>
  <si>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</si>
  <si>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</si>
  <si>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</si>
  <si>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</si>
  <si>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</si>
  <si>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</si>
  <si>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</si>
  <si>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</si>
  <si>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</si>
  <si>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</si>
  <si>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</si>
  <si>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</si>
  <si>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</si>
  <si>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</si>
  <si>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</si>
  <si>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</si>
  <si>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</si>
  <si>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</si>
  <si>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</si>
  <si>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</si>
  <si>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</si>
  <si>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</si>
  <si>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</si>
  <si>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</si>
  <si>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</si>
  <si>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</si>
  <si>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</si>
  <si>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</si>
  <si>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</si>
  <si>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</si>
  <si>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</si>
  <si>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</si>
  <si>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</si>
  <si>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</si>
  <si>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</si>
  <si>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</si>
  <si>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</si>
  <si>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</si>
  <si>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</si>
  <si>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</si>
  <si>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</si>
  <si>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</si>
  <si>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</si>
  <si>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</si>
  <si>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</si>
  <si>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</si>
  <si>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</si>
  <si>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</si>
  <si>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</si>
  <si>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</si>
  <si>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</si>
  <si>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</si>
  <si>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</si>
  <si>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</si>
  <si>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</si>
  <si>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</si>
  <si>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</si>
  <si>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</si>
  <si>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</si>
  <si>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</si>
  <si>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</si>
  <si>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</si>
  <si>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</si>
  <si>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</si>
  <si>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</si>
  <si>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</si>
  <si>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</si>
  <si>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</si>
  <si>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</si>
  <si>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</si>
  <si>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</si>
  <si>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</si>
  <si>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</si>
  <si>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</si>
  <si>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</si>
  <si>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</si>
  <si>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</si>
  <si>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</si>
  <si>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</si>
  <si>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</si>
  <si>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</si>
  <si>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</si>
  <si>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</si>
  <si>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</si>
  <si>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</si>
  <si>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</si>
  <si>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</si>
  <si>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</si>
  <si>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</si>
  <si>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</si>
  <si>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</si>
  <si>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</si>
  <si>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</si>
  <si>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</si>
  <si>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</si>
  <si>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</si>
  <si>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</si>
  <si>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</si>
  <si>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</si>
  <si>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</si>
  <si>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</si>
  <si>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</si>
  <si>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</si>
  <si>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</si>
  <si>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</si>
  <si>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</si>
  <si>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</si>
  <si>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</si>
  <si>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</si>
  <si>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</si>
  <si>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</si>
  <si>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</si>
  <si>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</si>
  <si>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</si>
  <si>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</si>
  <si>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</si>
  <si>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</si>
  <si>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</si>
  <si>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</si>
  <si>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</si>
  <si>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</si>
  <si>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</si>
  <si>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</si>
  <si>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</si>
  <si>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</si>
  <si>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</si>
  <si>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</si>
  <si>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</si>
  <si>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</si>
  <si>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</si>
  <si>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</si>
  <si>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</si>
  <si>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</si>
  <si>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</si>
  <si>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</si>
  <si>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</si>
  <si>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</si>
  <si>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</si>
  <si>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</si>
  <si>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</si>
  <si>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</si>
  <si>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</si>
  <si>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</si>
  <si>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</si>
  <si>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</si>
  <si>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</si>
  <si>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</si>
  <si>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</si>
  <si>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</si>
  <si>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</si>
  <si>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</si>
  <si>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</si>
  <si>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</si>
  <si>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</si>
  <si>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</si>
  <si>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</si>
  <si>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</si>
  <si>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</si>
  <si>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</si>
  <si>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</si>
  <si>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</si>
  <si>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</si>
  <si>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</si>
  <si>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</si>
  <si>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</si>
  <si>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</si>
  <si>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</si>
  <si>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</si>
  <si>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</si>
  <si>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</si>
  <si>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</si>
  <si>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</si>
  <si>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</si>
  <si>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</si>
  <si>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</si>
  <si>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</si>
  <si>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</si>
  <si>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</si>
  <si>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</si>
  <si>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</si>
  <si>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</si>
  <si>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</si>
  <si>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</si>
  <si>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</si>
  <si>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</si>
  <si>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</si>
  <si>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</si>
  <si>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</si>
  <si>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</si>
  <si>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</si>
  <si>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</si>
  <si>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</si>
  <si>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</si>
  <si>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</si>
  <si>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</si>
  <si>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</si>
  <si>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</si>
  <si>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</si>
  <si>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</si>
  <si>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</si>
  <si>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</si>
  <si>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</si>
  <si>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</si>
  <si>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</si>
  <si>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</si>
  <si>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</si>
  <si>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</si>
  <si>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</si>
  <si>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</si>
  <si>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</si>
  <si>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</si>
  <si>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</si>
  <si>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</si>
  <si>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</si>
  <si>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</si>
  <si>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</si>
  <si>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</si>
  <si>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</si>
  <si>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</si>
  <si>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</si>
  <si>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</si>
  <si>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</si>
  <si>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</si>
  <si>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</si>
  <si>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</si>
  <si>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</si>
  <si>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</si>
  <si>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</si>
  <si>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</si>
  <si>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</si>
  <si>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</si>
  <si>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</si>
  <si>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</si>
  <si>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</si>
  <si>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</si>
  <si>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</si>
  <si>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</si>
  <si>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</si>
  <si>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</si>
  <si>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</si>
  <si>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</si>
  <si>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</si>
  <si>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</si>
  <si>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</si>
  <si>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</si>
  <si>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</si>
  <si>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</si>
  <si>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</si>
  <si>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</si>
  <si>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</si>
  <si>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</si>
  <si>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</si>
  <si>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</si>
  <si>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</si>
  <si>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</si>
  <si>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</si>
  <si>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</si>
  <si>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</si>
  <si>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</si>
  <si>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</si>
  <si>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</si>
  <si>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</si>
  <si>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</si>
  <si>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</si>
  <si>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</si>
  <si>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</si>
  <si>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</si>
  <si>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</si>
  <si>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</si>
  <si>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</si>
  <si>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</si>
  <si>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</si>
  <si>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</si>
  <si>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</si>
  <si>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</si>
  <si>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</si>
  <si>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</si>
  <si>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</si>
  <si>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</si>
  <si>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</si>
  <si>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</si>
  <si>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</si>
  <si>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</si>
  <si>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</si>
  <si>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</si>
  <si>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</si>
  <si>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</si>
  <si>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</si>
  <si>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</si>
  <si>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</si>
  <si>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</si>
  <si>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</si>
  <si>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</si>
  <si>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</si>
  <si>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</si>
  <si>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</si>
  <si>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</si>
  <si>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</si>
  <si>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</si>
  <si>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</si>
  <si>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</si>
  <si>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</si>
  <si>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</si>
  <si>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</si>
  <si>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</si>
  <si>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</si>
  <si>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</si>
  <si>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</si>
  <si>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</si>
  <si>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</si>
  <si>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</si>
  <si>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</si>
  <si>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</si>
  <si>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</si>
  <si>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</si>
  <si>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</si>
  <si>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</si>
  <si>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</si>
  <si>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</si>
  <si>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</si>
  <si>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</si>
  <si>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</si>
  <si>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</si>
  <si>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</si>
  <si>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</si>
  <si>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</si>
  <si>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</si>
  <si>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</si>
  <si>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</si>
  <si>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</si>
  <si>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</si>
  <si>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</si>
  <si>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</si>
  <si>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</si>
  <si>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</si>
  <si>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</si>
  <si>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</si>
  <si>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</si>
  <si>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</si>
  <si>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</si>
  <si>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</si>
  <si>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</si>
  <si>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</si>
  <si>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</si>
  <si>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</si>
  <si>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</si>
  <si>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</si>
  <si>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</si>
  <si>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</si>
  <si>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</si>
  <si>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</si>
  <si>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</si>
  <si>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</si>
  <si>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</si>
  <si>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</si>
  <si>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</si>
  <si>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</si>
  <si>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</si>
  <si>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</si>
  <si>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</si>
  <si>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</si>
  <si>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</si>
  <si>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</si>
  <si>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</si>
  <si>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</si>
  <si>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</si>
  <si>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</si>
  <si>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</si>
  <si>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</si>
  <si>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</si>
  <si>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</si>
  <si>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</si>
  <si>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</si>
  <si>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</si>
  <si>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</si>
  <si>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</si>
  <si>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</si>
  <si>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</si>
  <si>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</si>
  <si>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</si>
  <si>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</si>
  <si>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</si>
  <si>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</si>
  <si>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</si>
  <si>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</si>
  <si>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</si>
  <si>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</si>
  <si>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</si>
  <si>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</si>
  <si>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</si>
  <si>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</si>
  <si>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</si>
  <si>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</si>
  <si>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</si>
  <si>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</si>
  <si>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</si>
  <si>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</si>
  <si>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</si>
  <si>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</si>
  <si>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</si>
  <si>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</si>
  <si>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</si>
  <si>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</si>
  <si>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</si>
  <si>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</si>
  <si>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</si>
  <si>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</si>
  <si>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</si>
  <si>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</si>
  <si>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</si>
  <si>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</si>
  <si>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</si>
  <si>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</si>
  <si>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</si>
  <si>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</si>
  <si>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</si>
  <si>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</si>
  <si>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</si>
  <si>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</si>
  <si>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</si>
  <si>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</si>
  <si>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</si>
  <si>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</si>
  <si>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</si>
  <si>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</si>
  <si>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</si>
  <si>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</si>
  <si>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</si>
  <si>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</si>
  <si>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</si>
  <si>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</si>
  <si>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</si>
  <si>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</si>
  <si>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</si>
  <si>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</si>
  <si>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</si>
  <si>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</si>
  <si>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</si>
  <si>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</si>
  <si>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</si>
  <si>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</si>
  <si>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</si>
  <si>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</si>
  <si>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</si>
  <si>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</si>
  <si>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</si>
  <si>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</si>
  <si>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</si>
  <si>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</si>
  <si>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</si>
  <si>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</si>
  <si>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</si>
  <si>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</si>
  <si>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</si>
  <si>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</si>
  <si>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</si>
  <si>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</si>
  <si>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</si>
  <si>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</si>
  <si>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</si>
  <si>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</si>
  <si>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</si>
  <si>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</si>
  <si>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</si>
  <si>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</si>
  <si>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</si>
  <si>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</si>
  <si>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</si>
  <si>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</si>
  <si>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</si>
  <si>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</si>
  <si>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</si>
  <si>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</si>
  <si>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</si>
  <si>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</si>
  <si>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</si>
  <si>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</si>
  <si>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</si>
  <si>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</si>
  <si>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</si>
  <si>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</si>
  <si>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</si>
  <si>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</si>
  <si>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</si>
  <si>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</si>
  <si>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</si>
  <si>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</si>
  <si>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</si>
  <si>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</si>
  <si>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</si>
  <si>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</si>
  <si>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</si>
  <si>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</si>
  <si>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</si>
  <si>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</si>
  <si>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</si>
  <si>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</si>
  <si>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</si>
  <si>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</si>
  <si>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</si>
  <si>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</si>
  <si>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</si>
  <si>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</si>
  <si>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</si>
  <si>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</si>
  <si>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</si>
  <si>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</si>
  <si>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</si>
  <si>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</si>
  <si>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</si>
  <si>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</si>
  <si>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</si>
  <si>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</si>
  <si>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</si>
  <si>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</si>
  <si>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</si>
  <si>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</si>
  <si>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</si>
  <si>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</si>
  <si>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</si>
  <si>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</si>
  <si>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</si>
  <si>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</si>
  <si>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</si>
  <si>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</si>
  <si>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</si>
  <si>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</si>
  <si>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</si>
  <si>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</si>
  <si>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</si>
  <si>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</si>
  <si>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</si>
  <si>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</si>
  <si>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</si>
  <si>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</si>
  <si>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</si>
  <si>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</si>
  <si>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</si>
  <si>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</si>
  <si>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</si>
  <si>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</si>
  <si>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</si>
  <si>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</si>
  <si>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</si>
  <si>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</si>
  <si>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</si>
  <si>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</si>
  <si>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</si>
  <si>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</si>
  <si>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</si>
  <si>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</si>
  <si>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</si>
  <si>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</si>
  <si>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</si>
  <si>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</si>
  <si>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</si>
  <si>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</si>
  <si>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</si>
  <si>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</si>
  <si>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</si>
  <si>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</si>
  <si>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</si>
  <si>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</si>
  <si>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</si>
  <si>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</si>
  <si>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</si>
  <si>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</si>
  <si>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</si>
  <si>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</si>
  <si>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</si>
  <si>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</si>
  <si>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</si>
  <si>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</si>
  <si>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</si>
  <si>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</si>
  <si>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</si>
  <si>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</si>
  <si>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</si>
  <si>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</si>
  <si>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</si>
  <si>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</si>
  <si>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</si>
  <si>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</si>
  <si>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</si>
  <si>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</si>
  <si>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</si>
  <si>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</si>
  <si>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</si>
  <si>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</si>
  <si>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</si>
  <si>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</si>
  <si>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</si>
  <si>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</si>
  <si>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</si>
  <si>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</si>
  <si>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</si>
  <si>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</si>
  <si>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</si>
  <si>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</si>
  <si>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</si>
  <si>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</si>
  <si>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</si>
  <si>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</si>
  <si>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</si>
  <si>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</si>
  <si>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</si>
  <si>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</si>
  <si>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</si>
  <si>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</si>
  <si>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</si>
  <si>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</si>
  <si>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</si>
  <si>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</si>
  <si>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</si>
  <si>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</si>
  <si>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</si>
  <si>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</si>
  <si>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</si>
  <si>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</si>
  <si>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</si>
  <si>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</si>
  <si>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</si>
  <si>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</si>
  <si>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</si>
  <si>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</si>
  <si>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</si>
  <si>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</si>
  <si>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</si>
  <si>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</si>
  <si>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</si>
  <si>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</si>
  <si>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</si>
  <si>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</si>
  <si>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</si>
  <si>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</si>
  <si>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</si>
  <si>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</si>
  <si>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</si>
  <si>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</si>
  <si>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</si>
  <si>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</si>
  <si>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</si>
  <si>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</si>
  <si>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</si>
  <si>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</si>
  <si>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</si>
  <si>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</si>
  <si>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</si>
  <si>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</si>
  <si>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</si>
  <si>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</si>
  <si>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</si>
  <si>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</si>
  <si>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</si>
  <si>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</si>
  <si>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</si>
  <si>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</si>
  <si>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</si>
  <si>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</si>
  <si>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</si>
  <si>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</si>
  <si>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</si>
  <si>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</si>
  <si>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</si>
  <si>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</si>
  <si>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</si>
  <si>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</si>
  <si>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</si>
  <si>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</si>
  <si>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</si>
  <si>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</si>
  <si>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</si>
  <si>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</si>
  <si>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</si>
  <si>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</si>
  <si>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</si>
  <si>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</si>
  <si>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</si>
  <si>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</si>
  <si>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</si>
  <si>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</si>
  <si>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</si>
  <si>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</si>
  <si>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</si>
  <si>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</si>
  <si>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</si>
  <si>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</si>
  <si>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</si>
  <si>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</si>
  <si>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</si>
  <si>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</si>
  <si>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</si>
  <si>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</si>
  <si>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</si>
  <si>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</si>
  <si>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</si>
  <si>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</si>
  <si>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</si>
  <si>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</si>
  <si>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</si>
  <si>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</si>
  <si>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</si>
  <si>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</si>
  <si>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</si>
  <si>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</si>
  <si>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</si>
  <si>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</si>
  <si>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</si>
  <si>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</si>
  <si>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</si>
  <si>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</si>
  <si>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</si>
  <si>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</si>
  <si>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</si>
  <si>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</si>
  <si>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</si>
  <si>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</si>
  <si>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</si>
  <si>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</si>
  <si>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</si>
  <si>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</si>
  <si>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</si>
  <si>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</si>
  <si>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</si>
  <si>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</si>
  <si>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</si>
  <si>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</si>
  <si>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</si>
  <si>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</si>
  <si>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</si>
  <si>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</si>
  <si>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</si>
  <si>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</si>
  <si>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</si>
  <si>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</si>
  <si>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</si>
  <si>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</si>
  <si>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</si>
  <si>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</si>
  <si>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</si>
  <si>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</si>
  <si>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</si>
  <si>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</si>
  <si>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</si>
  <si>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</si>
  <si>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</si>
  <si>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</si>
  <si>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</si>
  <si>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</si>
  <si>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</si>
  <si>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</si>
  <si>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</si>
  <si>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</si>
  <si>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</si>
  <si>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</si>
  <si>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</si>
  <si>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</si>
  <si>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</si>
  <si>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</si>
  <si>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</si>
  <si>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</si>
  <si>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</si>
  <si>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</si>
  <si>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</si>
  <si>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</si>
  <si>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</si>
  <si>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</si>
  <si>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</si>
  <si>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</si>
  <si>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</si>
  <si>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</si>
  <si>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</si>
  <si>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</si>
  <si>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</si>
  <si>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</si>
  <si>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</si>
  <si>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</si>
  <si>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</si>
  <si>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</si>
  <si>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</si>
  <si>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</si>
  <si>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</si>
  <si>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</si>
  <si>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</si>
  <si>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</si>
  <si>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</si>
  <si>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</si>
  <si>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</si>
  <si>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</si>
  <si>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</si>
  <si>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</si>
  <si>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</si>
  <si>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</si>
  <si>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</si>
  <si>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</si>
  <si>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</si>
  <si>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</si>
  <si>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</si>
  <si>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</si>
  <si>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</si>
  <si>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</si>
  <si>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</si>
  <si>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</si>
  <si>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</si>
  <si>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</si>
  <si>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</si>
  <si>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</si>
  <si>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</si>
  <si>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</si>
  <si>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</si>
  <si>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</si>
  <si>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</si>
  <si>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</si>
  <si>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</si>
  <si>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</si>
  <si>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</si>
  <si>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</si>
  <si>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</si>
  <si>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</si>
  <si>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</si>
  <si>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</si>
  <si>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</si>
  <si>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</si>
  <si>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</si>
  <si>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</si>
  <si>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</si>
  <si>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</si>
  <si>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</si>
  <si>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</si>
  <si>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</si>
  <si>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</si>
  <si>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</si>
  <si>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</si>
  <si>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</si>
  <si>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</si>
  <si>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</si>
  <si>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</si>
  <si>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</si>
  <si>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</si>
  <si>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</si>
  <si>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</si>
  <si>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</si>
  <si>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</si>
  <si>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</si>
  <si>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</si>
  <si>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</si>
  <si>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</si>
  <si>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</si>
  <si>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</si>
  <si>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</si>
  <si>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</si>
  <si>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</si>
  <si>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</si>
  <si>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</si>
  <si>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</si>
  <si>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</si>
  <si>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</si>
  <si>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</si>
  <si>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</si>
  <si>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</si>
  <si>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</si>
  <si>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</si>
  <si>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</si>
  <si>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</si>
  <si>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</si>
  <si>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</si>
  <si>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</si>
  <si>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</si>
  <si>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</si>
  <si>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</si>
  <si>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</si>
  <si>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</si>
  <si>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</si>
  <si>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</si>
  <si>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</si>
  <si>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</si>
  <si>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</si>
  <si>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</si>
  <si>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</si>
  <si>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</si>
  <si>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</si>
  <si>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</si>
  <si>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</si>
  <si>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</si>
  <si>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</si>
  <si>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</si>
  <si>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</si>
  <si>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</si>
  <si>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</si>
  <si>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</si>
  <si>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</si>
  <si>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</si>
  <si>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</si>
  <si>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</si>
  <si>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</si>
  <si>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</si>
  <si>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</si>
  <si>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</si>
  <si>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</si>
  <si>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</si>
  <si>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</si>
  <si>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</si>
  <si>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</si>
  <si>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</si>
  <si>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</si>
  <si>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</si>
  <si>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</si>
  <si>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</si>
  <si>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</si>
  <si>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</si>
  <si>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</si>
  <si>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</si>
  <si>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</si>
  <si>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</si>
  <si>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</si>
  <si>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</si>
  <si>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</si>
  <si>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</si>
  <si>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</si>
  <si>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</si>
  <si>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</si>
  <si>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</si>
  <si>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</si>
  <si>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</si>
  <si>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</si>
  <si>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</si>
  <si>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</si>
  <si>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</si>
  <si>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</si>
  <si>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</si>
  <si>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</si>
  <si>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</si>
  <si>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</si>
  <si>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</si>
  <si>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</si>
  <si>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</si>
  <si>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</si>
  <si>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</si>
  <si>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</si>
  <si>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</si>
  <si>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</si>
  <si>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</si>
  <si>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</si>
  <si>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</si>
  <si>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</si>
  <si>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</si>
  <si>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</si>
  <si>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</si>
  <si>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</si>
  <si>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</si>
  <si>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</si>
  <si>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</si>
  <si>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</si>
  <si>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</si>
  <si>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</si>
  <si>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</si>
  <si>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</si>
  <si>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</si>
  <si>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</si>
  <si>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</si>
  <si>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</si>
  <si>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</si>
  <si>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</si>
  <si>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</si>
  <si>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</si>
  <si>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</si>
  <si>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</si>
  <si>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</si>
  <si>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</si>
  <si>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</si>
  <si>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</si>
  <si>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</si>
  <si>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</si>
  <si>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</si>
  <si>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</si>
  <si>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</si>
  <si>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</si>
  <si>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</si>
  <si>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</si>
  <si>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</si>
  <si>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</si>
  <si>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</si>
  <si>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</si>
  <si>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</si>
  <si>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</si>
  <si>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</si>
  <si>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</si>
  <si>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</si>
  <si>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</si>
  <si>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</si>
  <si>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</si>
  <si>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</si>
  <si>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</si>
  <si>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</si>
  <si>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</si>
  <si>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</si>
  <si>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</si>
  <si>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</si>
  <si>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</si>
  <si>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</si>
  <si>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</si>
  <si>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</si>
  <si>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</si>
  <si>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</si>
  <si>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</si>
  <si>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</si>
  <si>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</si>
  <si>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</si>
  <si>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</si>
  <si>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</si>
  <si>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</si>
  <si>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</si>
  <si>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</si>
  <si>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</si>
  <si>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</si>
  <si>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</si>
  <si>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</si>
  <si>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</si>
  <si>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</si>
  <si>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</si>
  <si>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</si>
  <si>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</si>
  <si>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</si>
  <si>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</si>
  <si>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</si>
  <si>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</si>
  <si>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</si>
  <si>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</si>
  <si>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</si>
  <si>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</si>
  <si>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</si>
  <si>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</si>
  <si>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</si>
  <si>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</si>
  <si>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</si>
  <si>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</si>
  <si>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</si>
  <si>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</si>
  <si>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</si>
  <si>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</si>
  <si>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</si>
  <si>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</si>
  <si>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</si>
  <si>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</si>
  <si>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</si>
  <si>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</si>
  <si>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</si>
  <si>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</si>
  <si>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</si>
  <si>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</si>
  <si>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</si>
  <si>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</si>
  <si>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</si>
  <si>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</si>
  <si>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</si>
  <si>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</si>
  <si>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</si>
  <si>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</si>
  <si>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</si>
  <si>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</si>
  <si>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</si>
  <si>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</si>
  <si>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</si>
  <si>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</si>
  <si>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</si>
  <si>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</si>
  <si>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</si>
  <si>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</si>
  <si>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</si>
  <si>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</si>
  <si>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</si>
  <si>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</si>
  <si>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</si>
  <si>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</si>
  <si>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</si>
  <si>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</si>
  <si>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</si>
  <si>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</si>
  <si>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</si>
  <si>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</si>
  <si>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</si>
  <si>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</si>
  <si>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</si>
  <si>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</si>
  <si>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</si>
  <si>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</si>
  <si>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</si>
  <si>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</si>
  <si>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</si>
  <si>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</si>
  <si>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</si>
  <si>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</si>
  <si>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</si>
  <si>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</si>
  <si>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</si>
  <si>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</si>
  <si>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</si>
  <si>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</si>
  <si>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</si>
  <si>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</si>
  <si>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</si>
  <si>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</si>
  <si>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</si>
  <si>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</si>
  <si>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</si>
  <si>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</si>
  <si>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</si>
  <si>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</si>
  <si>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</si>
  <si>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</si>
  <si>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</si>
  <si>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</si>
  <si>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</si>
  <si>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</si>
  <si>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</si>
  <si>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</si>
  <si>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</si>
  <si>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</si>
  <si>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</si>
  <si>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</si>
  <si>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</si>
  <si>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</si>
  <si>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</si>
  <si>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</si>
  <si>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</si>
  <si>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</si>
  <si>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</si>
  <si>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</si>
  <si>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</si>
  <si>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</si>
  <si>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</si>
  <si>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</si>
  <si>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</si>
  <si>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</si>
  <si>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</si>
  <si>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</si>
  <si>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</si>
  <si>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</si>
  <si>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</si>
  <si>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</si>
  <si>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</si>
  <si>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</si>
  <si>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</si>
  <si>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</si>
  <si>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</si>
  <si>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</si>
  <si>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</si>
  <si>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</si>
  <si>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</si>
  <si>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</si>
  <si>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</si>
  <si>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</si>
  <si>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</si>
  <si>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</si>
  <si>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</si>
  <si>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</si>
  <si>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</si>
  <si>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</si>
  <si>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</si>
  <si>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</si>
  <si>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</si>
  <si>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</si>
  <si>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</si>
  <si>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</si>
  <si>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</si>
  <si>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</si>
  <si>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</si>
  <si>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</si>
  <si>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</si>
  <si>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</si>
  <si>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</si>
  <si>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</si>
  <si>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</si>
  <si>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</si>
  <si>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</si>
  <si>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</si>
  <si>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</si>
  <si>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</si>
  <si>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</si>
  <si>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</si>
  <si>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</si>
  <si>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</si>
  <si>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</si>
  <si>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</si>
  <si>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</si>
  <si>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</si>
  <si>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</si>
  <si>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</si>
  <si>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</si>
  <si>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</si>
  <si>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</si>
  <si>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</si>
  <si>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</si>
  <si>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</si>
  <si>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</si>
  <si>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</si>
  <si>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</si>
  <si>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</si>
  <si>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</si>
  <si>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</si>
  <si>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</si>
  <si>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</si>
  <si>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</si>
  <si>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</si>
  <si>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</si>
  <si>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</si>
  <si>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</si>
  <si>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</si>
  <si>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</si>
  <si>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</si>
  <si>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</si>
  <si>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</si>
  <si>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</si>
  <si>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</si>
  <si>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</si>
  <si>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</si>
  <si>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</si>
  <si>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</si>
  <si>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</si>
  <si>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</si>
  <si>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</si>
  <si>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</si>
  <si>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</si>
  <si>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</si>
  <si>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</si>
  <si>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</si>
  <si>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</si>
  <si>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</si>
  <si>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</si>
  <si>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</si>
  <si>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</si>
  <si>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</si>
  <si>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</si>
  <si>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</si>
  <si>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</si>
  <si>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</si>
  <si>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</si>
  <si>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</si>
  <si>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</si>
  <si>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</si>
  <si>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</si>
  <si>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</si>
  <si>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</si>
  <si>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</si>
  <si>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</si>
  <si>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</si>
  <si>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</si>
  <si>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</si>
  <si>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</si>
  <si>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</si>
  <si>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</si>
  <si>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</si>
  <si>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</si>
  <si>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</si>
  <si>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</si>
  <si>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</si>
  <si>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</si>
  <si>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</si>
  <si>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</si>
  <si>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</si>
  <si>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</si>
  <si>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</si>
  <si>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</si>
  <si>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</si>
  <si>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</si>
  <si>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</si>
  <si>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</si>
  <si>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</si>
  <si>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</si>
  <si>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</si>
  <si>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</si>
  <si>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</si>
  <si>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</si>
  <si>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</si>
  <si>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</si>
  <si>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</si>
  <si>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</si>
  <si>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</si>
  <si>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</si>
  <si>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</si>
  <si>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</si>
  <si>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</si>
  <si>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</si>
  <si>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</si>
  <si>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</si>
  <si>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</si>
  <si>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</si>
  <si>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</si>
  <si>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</si>
  <si>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</si>
  <si>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</si>
  <si>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</si>
  <si>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</si>
  <si>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</si>
  <si>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</si>
  <si>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</si>
  <si>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</si>
  <si>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</si>
  <si>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</si>
  <si>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</si>
  <si>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</si>
  <si>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</si>
  <si>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</si>
  <si>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</si>
  <si>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</si>
  <si>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</si>
  <si>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</si>
  <si>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</si>
  <si>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</si>
  <si>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</si>
  <si>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</si>
  <si>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</si>
  <si>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</si>
  <si>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</si>
  <si>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</si>
  <si>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</si>
  <si>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</si>
  <si>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</si>
  <si>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</si>
  <si>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</si>
  <si>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</si>
  <si>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</si>
  <si>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</si>
  <si>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</si>
  <si>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</si>
  <si>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</si>
  <si>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</si>
  <si>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</si>
  <si>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</si>
  <si>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</si>
  <si>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</si>
  <si>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</si>
  <si>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</si>
  <si>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</si>
  <si>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</si>
  <si>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</si>
  <si>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</si>
  <si>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</si>
  <si>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</si>
  <si>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</si>
  <si>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</si>
  <si>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</si>
  <si>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</si>
  <si>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</si>
  <si>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</si>
  <si>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</si>
  <si>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</si>
  <si>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</si>
  <si>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</si>
  <si>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</si>
  <si>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</si>
  <si>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</si>
  <si>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</si>
  <si>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</si>
  <si>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</si>
  <si>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</si>
  <si>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</si>
  <si>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</si>
  <si>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</si>
  <si>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</si>
  <si>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</si>
  <si>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</si>
  <si>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</si>
  <si>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</si>
  <si>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</si>
  <si>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</si>
  <si>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</si>
  <si>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</si>
  <si>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</si>
  <si>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</si>
  <si>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</si>
  <si>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</si>
  <si>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</si>
  <si>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</si>
  <si>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</si>
  <si>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</si>
  <si>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</si>
  <si>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</si>
  <si>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</si>
  <si>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</si>
  <si>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</si>
  <si>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</si>
  <si>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</si>
  <si>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</si>
  <si>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</si>
  <si>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</si>
  <si>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</si>
  <si>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</si>
  <si>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</si>
  <si>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</si>
  <si>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</si>
  <si>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</si>
  <si>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</si>
  <si>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</si>
  <si>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</si>
  <si>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</si>
  <si>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</si>
  <si>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</si>
  <si>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</si>
  <si>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</si>
  <si>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</si>
  <si>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</si>
  <si>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</si>
  <si>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</si>
  <si>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</si>
  <si>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</si>
  <si>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</si>
  <si>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</si>
  <si>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</si>
  <si>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</si>
  <si>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</si>
  <si>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</si>
  <si>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</si>
  <si>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</si>
  <si>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</si>
  <si>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</si>
  <si>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</si>
  <si>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</si>
  <si>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</si>
  <si>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</si>
  <si>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</si>
  <si>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</si>
  <si>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</si>
  <si>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</si>
  <si>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</si>
  <si>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</si>
  <si>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</si>
  <si>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</si>
  <si>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</si>
  <si>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</si>
  <si>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</si>
  <si>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</si>
  <si>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</si>
  <si>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</si>
  <si>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</si>
  <si>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</si>
  <si>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</si>
  <si>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</si>
  <si>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</si>
  <si>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</si>
  <si>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</si>
  <si>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</si>
  <si>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</si>
  <si>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</si>
  <si>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</si>
  <si>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</si>
  <si>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</si>
  <si>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</si>
  <si>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</si>
  <si>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</si>
  <si>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</si>
  <si>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</si>
  <si>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</si>
  <si>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</si>
  <si>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</si>
  <si>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</si>
  <si>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</si>
  <si>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</si>
  <si>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</si>
  <si>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</si>
  <si>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</si>
  <si>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</si>
  <si>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</si>
  <si>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</si>
  <si>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</si>
  <si>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</si>
  <si>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</si>
  <si>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</si>
  <si>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</si>
  <si>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</si>
  <si>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</si>
  <si>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</si>
  <si>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</si>
  <si>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</si>
  <si>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</si>
  <si>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</si>
  <si>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</si>
  <si>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</si>
  <si>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</si>
  <si>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</si>
  <si>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</si>
  <si>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</si>
  <si>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</si>
  <si>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</si>
  <si>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</si>
  <si>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</si>
  <si>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</si>
  <si>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</si>
  <si>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</si>
  <si>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</si>
  <si>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</si>
  <si>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</si>
  <si>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</si>
  <si>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</si>
  <si>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</si>
  <si>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</si>
  <si>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</si>
  <si>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</si>
  <si>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</si>
  <si>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</si>
  <si>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</si>
  <si>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</si>
  <si>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</si>
  <si>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</si>
  <si>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</si>
  <si>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</si>
  <si>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</si>
  <si>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</si>
  <si>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</si>
  <si>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</si>
  <si>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</si>
  <si>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</si>
  <si>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</si>
  <si>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</si>
  <si>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</si>
  <si>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</si>
  <si>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</si>
  <si>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</si>
  <si>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</si>
  <si>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</si>
  <si>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</si>
  <si>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</si>
  <si>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</si>
  <si>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</si>
  <si>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</si>
  <si>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</si>
  <si>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</si>
  <si>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</si>
  <si>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</si>
  <si>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</si>
  <si>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</si>
  <si>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</si>
  <si>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</si>
  <si>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</si>
  <si>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</si>
  <si>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</si>
  <si>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</si>
  <si>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</si>
  <si>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</si>
  <si>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</si>
  <si>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</si>
  <si>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</si>
  <si>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</si>
  <si>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</si>
  <si>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</si>
  <si>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</si>
  <si>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</si>
  <si>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</si>
  <si>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</si>
  <si>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</si>
  <si>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</si>
  <si>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</si>
  <si>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</si>
  <si>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</si>
  <si>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</si>
  <si>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</si>
  <si>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</si>
  <si>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</si>
  <si>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</si>
  <si>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</si>
  <si>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</si>
  <si>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</si>
  <si>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</si>
  <si>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</si>
  <si>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</si>
  <si>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</si>
  <si>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</si>
  <si>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</si>
  <si>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</si>
  <si>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</si>
  <si>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</si>
  <si>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</si>
  <si>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</si>
  <si>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</si>
  <si>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</si>
  <si>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</si>
  <si>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</si>
  <si>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</si>
  <si>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</si>
  <si>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</si>
  <si>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</si>
  <si>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</si>
  <si>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</si>
  <si>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</si>
  <si>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</si>
  <si>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</si>
  <si>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</si>
  <si>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</si>
  <si>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</si>
  <si>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</si>
  <si>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</si>
  <si>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</si>
  <si>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</si>
  <si>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</si>
  <si>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</si>
  <si>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</si>
  <si>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</si>
  <si>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</si>
  <si>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</si>
  <si>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</si>
  <si>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</si>
  <si>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</si>
  <si>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</si>
  <si>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</si>
  <si>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</si>
  <si>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</si>
  <si>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</si>
  <si>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</si>
  <si>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</si>
  <si>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</si>
  <si>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</si>
  <si>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</si>
  <si>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</si>
  <si>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</si>
  <si>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</si>
  <si>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</si>
  <si>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</si>
  <si>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</si>
  <si>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</si>
  <si>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</si>
  <si>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</si>
  <si>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</si>
  <si>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</si>
  <si>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</si>
  <si>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</si>
  <si>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</si>
  <si>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</si>
  <si>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</si>
  <si>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</si>
  <si>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</si>
  <si>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</si>
  <si>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</si>
  <si>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</si>
  <si>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</si>
  <si>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</si>
  <si>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</si>
  <si>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</si>
  <si>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</si>
  <si>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</si>
  <si>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</si>
  <si>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</si>
  <si>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</si>
  <si>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</si>
  <si>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</si>
  <si>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</si>
  <si>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</si>
  <si>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</si>
  <si>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</si>
  <si>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</si>
  <si>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</si>
  <si>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</si>
  <si>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</si>
  <si>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</si>
  <si>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</si>
  <si>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</si>
  <si>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</si>
  <si>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</si>
  <si>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</si>
  <si>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</si>
  <si>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</si>
  <si>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</si>
  <si>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</si>
  <si>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</si>
  <si>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</si>
  <si>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</si>
  <si>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</si>
  <si>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</si>
  <si>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</si>
  <si>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</si>
  <si>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</si>
  <si>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</si>
  <si>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</si>
  <si>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</si>
  <si>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</si>
  <si>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</si>
  <si>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</si>
  <si>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</si>
  <si>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</si>
  <si>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</si>
  <si>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</si>
  <si>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</si>
  <si>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</si>
  <si>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</si>
  <si>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</si>
  <si>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</si>
  <si>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</si>
  <si>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</si>
  <si>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</si>
  <si>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</si>
  <si>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</si>
  <si>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</si>
  <si>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</si>
  <si>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</si>
  <si>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</si>
  <si>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</si>
  <si>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</si>
  <si>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</si>
  <si>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</si>
  <si>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</si>
  <si>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</si>
  <si>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</si>
  <si>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</si>
  <si>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</si>
  <si>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</si>
  <si>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</si>
  <si>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</si>
  <si>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</si>
  <si>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</si>
  <si>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</si>
  <si>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</si>
  <si>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</si>
  <si>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</si>
  <si>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</si>
  <si>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</si>
  <si>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</si>
  <si>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</si>
  <si>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</si>
  <si>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</si>
  <si>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</si>
  <si>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</si>
  <si>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</si>
  <si>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</si>
  <si>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</si>
  <si>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</si>
  <si>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</si>
  <si>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</si>
  <si>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</si>
  <si>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</si>
  <si>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</si>
  <si>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</si>
  <si>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</si>
  <si>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</si>
  <si>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</si>
  <si>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</si>
  <si>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</si>
  <si>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</si>
  <si>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</si>
  <si>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</si>
  <si>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</si>
  <si>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</si>
  <si>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</si>
  <si>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</si>
  <si>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</si>
  <si>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</si>
  <si>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</si>
  <si>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</si>
  <si>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</si>
  <si>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</si>
  <si>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</si>
  <si>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</si>
  <si>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</si>
  <si>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</si>
  <si>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</si>
  <si>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</si>
  <si>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</si>
  <si>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</si>
  <si>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</si>
  <si>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</si>
  <si>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</si>
  <si>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</si>
  <si>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</si>
  <si>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</si>
  <si>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</si>
  <si>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</si>
  <si>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</si>
  <si>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</si>
  <si>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</si>
  <si>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</si>
  <si>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</si>
  <si>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</si>
  <si>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</si>
  <si>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</si>
  <si>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</si>
  <si>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</si>
  <si>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</si>
  <si>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</si>
  <si>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</si>
  <si>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</si>
  <si>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</si>
  <si>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</si>
  <si>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</si>
  <si>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</si>
  <si>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</si>
  <si>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</si>
  <si>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</si>
  <si>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</si>
  <si>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</si>
  <si>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</si>
  <si>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</si>
  <si>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</si>
  <si>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</si>
  <si>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</si>
  <si>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</si>
  <si>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</si>
  <si>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</si>
  <si>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</si>
  <si>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</si>
  <si>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</si>
  <si>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</si>
  <si>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</si>
  <si>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</si>
  <si>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</si>
  <si>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</si>
  <si>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</si>
  <si>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</si>
  <si>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</si>
  <si>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</si>
  <si>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</si>
  <si>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</si>
  <si>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</si>
  <si>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</si>
  <si>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</si>
  <si>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</si>
  <si>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</si>
  <si>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</si>
  <si>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</si>
  <si>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</si>
  <si>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</si>
  <si>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</si>
  <si>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</si>
  <si>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</si>
  <si>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</si>
  <si>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</si>
  <si>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</si>
  <si>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</si>
  <si>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</si>
  <si>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</si>
  <si>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</si>
  <si>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</si>
  <si>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</si>
  <si>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</si>
  <si>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</si>
  <si>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</si>
  <si>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</si>
  <si>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</si>
  <si>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</si>
  <si>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</si>
  <si>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</si>
  <si>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</si>
  <si>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</si>
  <si>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</si>
  <si>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</si>
  <si>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</si>
  <si>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</si>
  <si>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</si>
  <si>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</si>
  <si>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</si>
  <si>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</si>
  <si>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</si>
  <si>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</si>
  <si>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</si>
  <si>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</si>
  <si>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</si>
  <si>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</si>
  <si>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</si>
  <si>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</si>
  <si>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</si>
  <si>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</si>
  <si>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</si>
  <si>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</si>
  <si>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</si>
  <si>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</si>
  <si>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</si>
  <si>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</si>
  <si>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</si>
  <si>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</si>
  <si>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</si>
  <si>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</si>
  <si>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</si>
  <si>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</si>
  <si>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</si>
  <si>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</si>
  <si>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</si>
  <si>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</si>
  <si>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</si>
  <si>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</si>
  <si>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</si>
  <si>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</si>
  <si>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</si>
  <si>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</si>
  <si>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</si>
  <si>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</si>
  <si>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</si>
  <si>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</si>
  <si>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</si>
  <si>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</si>
  <si>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</si>
  <si>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</si>
  <si>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</si>
  <si>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</si>
  <si>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</si>
  <si>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</si>
  <si>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</si>
  <si>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</si>
  <si>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</si>
  <si>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</si>
  <si>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</si>
  <si>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</si>
  <si>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</si>
  <si>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</si>
  <si>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</si>
  <si>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</si>
  <si>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</si>
  <si>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</si>
  <si>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</si>
  <si>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</si>
  <si>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</si>
  <si>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</si>
  <si>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</si>
  <si>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</si>
  <si>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</si>
  <si>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</si>
  <si>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</si>
  <si>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</si>
  <si>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</si>
  <si>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</si>
  <si>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</si>
  <si>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</si>
  <si>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</si>
  <si>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</si>
  <si>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</si>
  <si>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</si>
  <si>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</si>
  <si>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</si>
  <si>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</si>
  <si>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</si>
  <si>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</si>
  <si>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</si>
  <si>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</si>
  <si>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</si>
  <si>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</si>
  <si>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</si>
  <si>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</si>
  <si>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</si>
  <si>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</si>
  <si>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</si>
  <si>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</si>
  <si>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</si>
  <si>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</si>
  <si>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</si>
  <si>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</si>
  <si>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</si>
  <si>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</si>
  <si>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</si>
  <si>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</si>
  <si>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</si>
  <si>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</si>
  <si>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</si>
  <si>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</si>
  <si>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</si>
  <si>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</si>
  <si>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</si>
  <si>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</si>
  <si>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</si>
  <si>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</si>
  <si>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</si>
  <si>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</si>
  <si>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</si>
  <si>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</si>
  <si>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</si>
  <si>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</si>
  <si>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</si>
  <si>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</si>
  <si>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</si>
  <si>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</si>
  <si>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</si>
  <si>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</si>
  <si>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</si>
  <si>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</si>
  <si>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</si>
  <si>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</si>
  <si>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</si>
  <si>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</si>
  <si>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</si>
  <si>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</si>
  <si>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</si>
  <si>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</si>
  <si>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</si>
  <si>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</si>
  <si>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</si>
  <si>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</si>
  <si>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</si>
  <si>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</si>
  <si>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</si>
  <si>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</si>
  <si>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</si>
  <si>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</si>
  <si>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</si>
  <si>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</si>
  <si>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</si>
  <si>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</si>
  <si>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</si>
  <si>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</si>
  <si>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</si>
  <si>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</si>
  <si>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</si>
  <si>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</si>
  <si>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</si>
  <si>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</si>
  <si>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</si>
  <si>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</si>
  <si>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</si>
  <si>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</si>
  <si>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</si>
  <si>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</si>
  <si>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</si>
  <si>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</si>
  <si>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</si>
  <si>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</si>
  <si>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</si>
  <si>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</si>
  <si>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</si>
  <si>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</si>
  <si>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</si>
  <si>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</si>
  <si>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</si>
  <si>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</si>
  <si>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</si>
  <si>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</si>
  <si>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</si>
  <si>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</si>
  <si>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</si>
  <si>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</si>
  <si>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</si>
  <si>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</si>
  <si>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</si>
  <si>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</si>
  <si>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</si>
  <si>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</si>
  <si>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</si>
  <si>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</si>
  <si>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</si>
  <si>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</si>
  <si>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</si>
  <si>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</si>
  <si>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</si>
  <si>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</si>
  <si>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</si>
  <si>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</si>
  <si>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</si>
  <si>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</si>
  <si>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</si>
  <si>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</si>
  <si>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</si>
  <si>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</si>
  <si>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</si>
  <si>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</si>
  <si>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</si>
  <si>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</si>
  <si>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</si>
  <si>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</si>
  <si>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</si>
  <si>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</si>
  <si>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</si>
  <si>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</si>
  <si>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</si>
  <si>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</si>
  <si>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</si>
  <si>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</si>
  <si>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</si>
  <si>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</si>
  <si>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</si>
  <si>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</si>
  <si>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</si>
  <si>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</si>
  <si>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</si>
  <si>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</si>
  <si>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</si>
  <si>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</si>
  <si>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</si>
  <si>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</si>
  <si>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</si>
  <si>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</si>
  <si>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</si>
  <si>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</si>
  <si>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</si>
  <si>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</si>
  <si>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</si>
  <si>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</si>
  <si>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</si>
  <si>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</si>
  <si>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</si>
  <si>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</si>
  <si>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</si>
  <si>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</si>
  <si>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</si>
  <si>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</si>
  <si>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</si>
  <si>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</si>
  <si>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</si>
  <si>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</si>
  <si>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</si>
  <si>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</si>
  <si>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</si>
  <si>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</si>
  <si>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</si>
  <si>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</si>
  <si>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</si>
  <si>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</si>
  <si>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</si>
  <si>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</si>
  <si>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</si>
  <si>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</si>
  <si>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</si>
  <si>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</si>
  <si>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</si>
  <si>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</si>
  <si>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</si>
  <si>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</si>
  <si>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</si>
  <si>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</si>
  <si>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</si>
  <si>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</si>
  <si>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</si>
  <si>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</si>
  <si>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</si>
  <si>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</si>
  <si>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</si>
  <si>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</si>
  <si>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</si>
  <si>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</si>
  <si>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</si>
  <si>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</si>
  <si>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</si>
  <si>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</si>
  <si>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</si>
  <si>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</si>
  <si>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</si>
  <si>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</si>
  <si>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</si>
  <si>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</si>
  <si>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</si>
  <si>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</si>
  <si>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</si>
  <si>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</si>
  <si>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</si>
  <si>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</si>
  <si>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</si>
  <si>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</si>
  <si>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</si>
  <si>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</si>
  <si>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</si>
  <si>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</si>
  <si>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</si>
  <si>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</si>
  <si>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</si>
  <si>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</si>
  <si>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</si>
  <si>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</si>
  <si>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</si>
  <si>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</si>
  <si>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</si>
  <si>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</si>
  <si>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</si>
  <si>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</si>
  <si>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</si>
  <si>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</si>
  <si>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</si>
  <si>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</si>
  <si>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</si>
  <si>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</si>
  <si>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</si>
  <si>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</si>
  <si>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</si>
  <si>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</si>
  <si>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</si>
  <si>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</si>
  <si>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</si>
  <si>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</si>
  <si>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</si>
  <si>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</si>
  <si>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</si>
  <si>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</si>
  <si>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</si>
  <si>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</si>
  <si>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</si>
  <si>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</si>
  <si>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</si>
  <si>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</si>
  <si>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</si>
  <si>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</si>
  <si>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</si>
  <si>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</si>
  <si>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</si>
  <si>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</si>
  <si>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</si>
  <si>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</si>
  <si>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</si>
  <si>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</si>
  <si>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</si>
  <si>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</si>
  <si>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</si>
  <si>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</si>
  <si>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</si>
  <si>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</si>
  <si>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</si>
  <si>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</si>
  <si>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</si>
  <si>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</si>
  <si>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</si>
  <si>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</si>
  <si>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</si>
  <si>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</si>
  <si>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</si>
  <si>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</si>
  <si>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</si>
  <si>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</si>
  <si>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</si>
  <si>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</si>
  <si>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</si>
  <si>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</si>
  <si>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</si>
  <si>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</si>
  <si>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</si>
  <si>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</si>
  <si>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</si>
  <si>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</si>
  <si>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</si>
  <si>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</si>
  <si>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</si>
  <si>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</si>
  <si>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</si>
  <si>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</si>
  <si>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</si>
  <si>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</si>
  <si>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</si>
  <si>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</si>
  <si>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</si>
  <si>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</si>
  <si>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</si>
  <si>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</si>
  <si>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</si>
  <si>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</si>
  <si>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</si>
  <si>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</si>
  <si>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</si>
  <si>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</si>
  <si>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</si>
  <si>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</si>
  <si>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</si>
  <si>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</si>
  <si>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</si>
  <si>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</si>
  <si>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</si>
  <si>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</si>
  <si>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</si>
  <si>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</si>
  <si>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</si>
  <si>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</si>
  <si>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</si>
  <si>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</si>
  <si>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</si>
  <si>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</si>
  <si>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</si>
  <si>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</si>
  <si>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</si>
  <si>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</si>
  <si>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</si>
  <si>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</si>
  <si>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</si>
  <si>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</si>
  <si>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</si>
  <si>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</si>
  <si>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</si>
  <si>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</si>
  <si>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</si>
  <si>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</si>
  <si>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</si>
  <si>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</si>
  <si>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</si>
  <si>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</si>
  <si>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</si>
  <si>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</si>
  <si>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</si>
  <si>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</si>
  <si>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</si>
  <si>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</si>
  <si>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</si>
  <si>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</si>
  <si>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</si>
  <si>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</si>
  <si>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</si>
  <si>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</si>
  <si>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</si>
  <si>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</si>
  <si>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</si>
  <si>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</si>
  <si>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</si>
  <si>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</si>
  <si>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</si>
  <si>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</si>
  <si>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</si>
  <si>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</si>
  <si>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</si>
  <si>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</si>
  <si>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</si>
  <si>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</si>
  <si>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</si>
  <si>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</si>
  <si>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</si>
  <si>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</si>
  <si>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</si>
  <si>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</si>
  <si>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</si>
  <si>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</si>
  <si>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</si>
  <si>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</si>
  <si>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</si>
  <si>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</si>
  <si>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</si>
  <si>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</si>
  <si>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</si>
  <si>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</si>
  <si>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</si>
  <si>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</si>
  <si>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</si>
  <si>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</si>
  <si>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</si>
  <si>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</si>
  <si>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</si>
  <si>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</si>
  <si>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</si>
  <si>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</si>
  <si>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</si>
  <si>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</si>
  <si>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</si>
  <si>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</si>
  <si>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</si>
  <si>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</si>
  <si>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</si>
  <si>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</si>
  <si>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</si>
  <si>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</si>
  <si>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</si>
  <si>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</si>
  <si>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</si>
  <si>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</si>
  <si>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</si>
  <si>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</si>
  <si>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</si>
  <si>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</si>
  <si>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</si>
  <si>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</si>
  <si>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</si>
  <si>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</si>
  <si>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</si>
  <si>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</si>
  <si>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</si>
  <si>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</si>
  <si>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</si>
  <si>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</si>
  <si>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</si>
  <si>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</si>
  <si>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</si>
  <si>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</si>
  <si>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</si>
  <si>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</si>
  <si>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</si>
  <si>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</si>
  <si>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</si>
  <si>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</si>
  <si>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</si>
  <si>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</si>
  <si>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</si>
  <si>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</si>
  <si>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</si>
  <si>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</si>
  <si>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</si>
  <si>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</si>
  <si>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</si>
  <si>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</si>
  <si>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</si>
  <si>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</si>
  <si>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</si>
  <si>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</si>
  <si>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</si>
  <si>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</si>
  <si>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</si>
  <si>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</si>
  <si>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</si>
  <si>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</si>
  <si>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</si>
  <si>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</si>
  <si>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</si>
  <si>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</si>
  <si>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</si>
  <si>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</si>
  <si>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</si>
  <si>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</si>
  <si>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</si>
  <si>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</si>
  <si>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</si>
  <si>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</si>
  <si>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</si>
  <si>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</si>
  <si>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</si>
  <si>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</si>
  <si>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</si>
  <si>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</si>
  <si>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</si>
  <si>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</si>
  <si>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</si>
  <si>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</si>
  <si>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</si>
  <si>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</si>
  <si>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</si>
  <si>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</si>
  <si>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</si>
  <si>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</si>
  <si>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</si>
  <si>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</si>
  <si>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</si>
  <si>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</si>
  <si>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</si>
  <si>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</si>
  <si>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</si>
  <si>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</si>
  <si>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</si>
  <si>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</si>
  <si>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</si>
  <si>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</si>
  <si>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</si>
  <si>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</si>
  <si>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</si>
  <si>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</si>
  <si>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</si>
  <si>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</si>
  <si>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</si>
  <si>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</si>
  <si>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</si>
  <si>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</si>
  <si>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</si>
  <si>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</si>
  <si>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</si>
  <si>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</si>
  <si>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</si>
  <si>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</si>
  <si>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</si>
  <si>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</si>
  <si>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</si>
  <si>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</si>
  <si>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</si>
  <si>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</si>
  <si>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</si>
  <si>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</si>
  <si>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</si>
  <si>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</si>
  <si>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</si>
  <si>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</si>
  <si>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</si>
  <si>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</si>
  <si>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</si>
  <si>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</si>
  <si>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</si>
  <si>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</si>
  <si>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</si>
  <si>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</si>
  <si>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</si>
  <si>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</si>
  <si>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</si>
  <si>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</si>
  <si>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</si>
  <si>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</si>
  <si>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</si>
  <si>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</si>
  <si>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</si>
  <si>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</si>
  <si>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</si>
  <si>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</si>
  <si>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</si>
  <si>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</si>
  <si>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</si>
  <si>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</si>
  <si>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</si>
  <si>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</si>
  <si>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</si>
  <si>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</si>
  <si>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</si>
  <si>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</si>
  <si>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</si>
  <si>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</si>
  <si>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</si>
  <si>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</si>
  <si>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</si>
  <si>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</si>
  <si>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</si>
  <si>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</si>
  <si>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</si>
  <si>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</si>
  <si>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</si>
  <si>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</si>
  <si>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</si>
  <si>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</si>
  <si>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</si>
  <si>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</si>
  <si>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</si>
  <si>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</si>
  <si>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</si>
  <si>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</si>
  <si>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</si>
  <si>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</si>
  <si>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</si>
  <si>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</si>
  <si>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</si>
  <si>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</si>
  <si>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</si>
  <si>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</si>
  <si>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</si>
  <si>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</si>
  <si>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</si>
  <si>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</si>
  <si>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</si>
  <si>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</si>
  <si>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</si>
  <si>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</si>
  <si>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</si>
  <si>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</si>
  <si>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</si>
  <si>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</si>
  <si>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</si>
  <si>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</si>
  <si>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</si>
  <si>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</si>
  <si>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</si>
  <si>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</si>
  <si>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</si>
  <si>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</si>
  <si>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</si>
  <si>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</si>
  <si>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</si>
  <si>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</si>
  <si>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</si>
  <si>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</si>
  <si>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</si>
  <si>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</si>
  <si>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</si>
  <si>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</si>
  <si>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</si>
  <si>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</si>
  <si>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</si>
  <si>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</si>
  <si>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</si>
  <si>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</si>
  <si>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</si>
  <si>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</si>
  <si>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</si>
  <si>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</si>
  <si>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</si>
  <si>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</si>
  <si>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</si>
  <si>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</si>
  <si>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</si>
  <si>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</si>
  <si>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</si>
  <si>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</si>
  <si>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</si>
  <si>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</si>
  <si>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</si>
  <si>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</si>
  <si>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</si>
  <si>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</si>
  <si>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</si>
  <si>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</si>
  <si>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</si>
  <si>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</si>
  <si>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</si>
  <si>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</si>
  <si>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</si>
  <si>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</si>
  <si>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</si>
  <si>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</si>
  <si>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</si>
  <si>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</si>
  <si>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</si>
  <si>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</si>
  <si>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</si>
  <si>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</si>
  <si>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</si>
  <si>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</si>
  <si>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</si>
  <si>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</si>
  <si>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</si>
  <si>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</si>
  <si>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</si>
  <si>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</si>
  <si>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</si>
  <si>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</si>
  <si>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</si>
  <si>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</si>
  <si>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</si>
  <si>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</si>
  <si>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</si>
  <si>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</si>
  <si>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</si>
  <si>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</si>
  <si>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</si>
  <si>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</si>
  <si>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</si>
  <si>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</si>
  <si>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</si>
  <si>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</si>
  <si>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</si>
  <si>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</si>
  <si>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</si>
  <si>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</si>
  <si>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</si>
  <si>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</si>
  <si>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</si>
  <si>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</si>
  <si>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</si>
  <si>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</si>
  <si>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</si>
  <si>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</si>
  <si>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</si>
  <si>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</si>
  <si>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</si>
  <si>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</si>
  <si>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</si>
  <si>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</si>
  <si>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</si>
  <si>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</si>
  <si>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</si>
  <si>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</si>
  <si>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</si>
  <si>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</si>
  <si>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</si>
  <si>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</si>
  <si>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</si>
  <si>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</si>
  <si>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</si>
  <si>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</si>
  <si>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</si>
  <si>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</si>
  <si>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</si>
  <si>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</si>
  <si>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</si>
  <si>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</si>
  <si>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</si>
  <si>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</si>
  <si>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</si>
  <si>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</si>
  <si>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</si>
  <si>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</si>
  <si>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</si>
  <si>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</si>
  <si>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</si>
  <si>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</si>
  <si>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</si>
  <si>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</si>
  <si>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</si>
  <si>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</si>
  <si>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</si>
  <si>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</si>
  <si>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</si>
  <si>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</si>
  <si>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</si>
  <si>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</si>
  <si>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</si>
  <si>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</si>
  <si>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</si>
  <si>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</si>
  <si>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</si>
  <si>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</si>
  <si>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</si>
  <si>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</si>
  <si>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</si>
  <si>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</si>
  <si>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</si>
  <si>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</si>
  <si>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</si>
  <si>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</si>
  <si>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</si>
  <si>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</si>
  <si>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</si>
  <si>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</si>
  <si>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</si>
  <si>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</si>
  <si>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</si>
  <si>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</si>
  <si>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</si>
  <si>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</si>
  <si>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</si>
  <si>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</si>
  <si>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</si>
  <si>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</si>
  <si>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</si>
  <si>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</si>
  <si>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</si>
  <si>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</si>
  <si>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</si>
  <si>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</si>
  <si>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</si>
  <si>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</si>
  <si>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</si>
  <si>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</si>
  <si>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</si>
  <si>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</si>
  <si>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</si>
  <si>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</si>
  <si>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</si>
  <si>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</si>
  <si>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</si>
  <si>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</si>
  <si>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</si>
  <si>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</si>
  <si>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</si>
  <si>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</si>
  <si>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</si>
  <si>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</si>
  <si>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</si>
  <si>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</si>
  <si>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</si>
  <si>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</si>
  <si>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</si>
  <si>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</si>
  <si>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</si>
  <si>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</si>
  <si>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</si>
  <si>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</si>
  <si>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</si>
  <si>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</si>
  <si>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</si>
  <si>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</si>
  <si>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</si>
  <si>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</si>
  <si>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</si>
  <si>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</si>
  <si>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</si>
  <si>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</si>
  <si>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</si>
  <si>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</si>
  <si>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</si>
  <si>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</si>
  <si>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</si>
  <si>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</si>
  <si>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</si>
  <si>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</si>
  <si>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</si>
  <si>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</si>
  <si>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</si>
  <si>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</si>
  <si>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</si>
  <si>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</si>
  <si>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</si>
  <si>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</si>
  <si>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</si>
  <si>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</si>
  <si>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</si>
  <si>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</si>
  <si>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</si>
  <si>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</si>
  <si>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</si>
  <si>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</si>
  <si>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</si>
  <si>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</si>
  <si>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</si>
  <si>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</si>
  <si>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</si>
  <si>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</si>
  <si>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</si>
  <si>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</si>
  <si>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</si>
  <si>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</si>
  <si>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</si>
  <si>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</si>
  <si>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</si>
  <si>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</si>
  <si>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</si>
  <si>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</si>
  <si>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</si>
  <si>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</si>
  <si>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</si>
  <si>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</si>
  <si>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</si>
  <si>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</si>
  <si>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</si>
  <si>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</si>
  <si>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</si>
  <si>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</si>
  <si>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</si>
  <si>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</si>
  <si>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</si>
  <si>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</si>
  <si>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</si>
  <si>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</si>
  <si>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</si>
  <si>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</si>
  <si>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</si>
  <si>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</si>
  <si>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</si>
  <si>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</si>
  <si>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</si>
  <si>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</si>
  <si>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</si>
  <si>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</si>
  <si>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</si>
  <si>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</si>
  <si>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</si>
  <si>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</si>
  <si>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</si>
  <si>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</si>
  <si>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</si>
  <si>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</si>
  <si>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</si>
  <si>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</si>
  <si>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</si>
  <si>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</si>
  <si>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</si>
  <si>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</si>
  <si>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</si>
  <si>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</si>
  <si>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</si>
  <si>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</si>
  <si>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</si>
  <si>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</si>
  <si>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</si>
  <si>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</si>
  <si>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</si>
  <si>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</si>
  <si>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</si>
  <si>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</si>
  <si>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</si>
  <si>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</si>
  <si>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</si>
  <si>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</si>
  <si>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</si>
  <si>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</si>
  <si>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</si>
  <si>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</si>
  <si>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</si>
  <si>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</si>
  <si>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</si>
  <si>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</si>
  <si>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</si>
  <si>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</si>
  <si>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</si>
  <si>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</si>
  <si>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</si>
  <si>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</si>
  <si>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</si>
  <si>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</si>
  <si>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</si>
  <si>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</si>
  <si>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</si>
  <si>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</si>
  <si>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</si>
  <si>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</si>
  <si>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</si>
  <si>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</si>
  <si>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</si>
  <si>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</si>
  <si>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</si>
  <si>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</si>
  <si>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</si>
  <si>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</si>
  <si>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</si>
  <si>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</si>
  <si>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</si>
  <si>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</si>
  <si>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</si>
  <si>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</si>
  <si>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</si>
  <si>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</si>
  <si>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</si>
  <si>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</si>
  <si>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</si>
  <si>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</si>
  <si>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</si>
  <si>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</si>
  <si>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</si>
  <si>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</si>
  <si>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</si>
  <si>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</si>
  <si>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</si>
  <si>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</si>
  <si>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</si>
  <si>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</si>
  <si>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</si>
  <si>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</si>
  <si>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</si>
  <si>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</si>
  <si>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</si>
  <si>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</si>
  <si>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</si>
  <si>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</si>
  <si>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</si>
  <si>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</si>
  <si>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</si>
  <si>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</si>
  <si>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</si>
  <si>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</si>
  <si>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</si>
  <si>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</si>
  <si>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</si>
  <si>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</si>
  <si>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</si>
  <si>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</si>
  <si>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</si>
  <si>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</si>
  <si>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</si>
  <si>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</si>
  <si>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</si>
  <si>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</si>
  <si>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</si>
  <si>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</si>
  <si>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</si>
  <si>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</si>
  <si>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</si>
  <si>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</si>
  <si>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</si>
  <si>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</si>
  <si>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</si>
  <si>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</si>
  <si>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</si>
  <si>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</si>
  <si>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</si>
  <si>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</si>
  <si>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</si>
  <si>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</si>
  <si>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</si>
  <si>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</si>
  <si>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</si>
  <si>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</si>
  <si>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</si>
  <si>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</si>
  <si>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</si>
  <si>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</si>
  <si>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</si>
  <si>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</si>
  <si>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</si>
  <si>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</si>
  <si>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</si>
  <si>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</si>
  <si>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</si>
  <si>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</si>
  <si>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</si>
  <si>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</si>
  <si>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</si>
  <si>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</si>
  <si>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</si>
  <si>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</si>
  <si>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</si>
  <si>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</si>
  <si>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</si>
  <si>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</si>
  <si>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</si>
  <si>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</si>
  <si>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</si>
  <si>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</si>
  <si>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</si>
  <si>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</si>
  <si>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</si>
  <si>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</si>
  <si>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</si>
  <si>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</si>
  <si>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</si>
  <si>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</si>
  <si>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</si>
  <si>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</si>
  <si>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</si>
  <si>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</si>
  <si>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</si>
  <si>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</si>
  <si>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</si>
  <si>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</si>
  <si>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</si>
  <si>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</si>
  <si>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</si>
  <si>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</si>
  <si>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</si>
  <si>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</si>
  <si>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</si>
  <si>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</si>
  <si>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</si>
  <si>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</si>
  <si>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</si>
  <si>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</si>
  <si>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</si>
  <si>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</si>
  <si>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</si>
  <si>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</si>
  <si>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</si>
  <si>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</si>
  <si>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</si>
  <si>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</si>
  <si>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</si>
  <si>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</si>
  <si>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</si>
  <si>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</si>
  <si>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</si>
  <si>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</si>
  <si>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</si>
  <si>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</si>
  <si>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</si>
  <si>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</si>
  <si>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</si>
  <si>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</si>
  <si>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</si>
  <si>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</si>
  <si>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</si>
  <si>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</si>
  <si>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</si>
  <si>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</si>
  <si>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</si>
  <si>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</si>
  <si>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</si>
  <si>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</si>
  <si>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</si>
  <si>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</si>
  <si>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</si>
  <si>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</si>
  <si>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</si>
  <si>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</si>
  <si>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</si>
  <si>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</si>
  <si>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</si>
  <si>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</si>
  <si>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</si>
  <si>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</si>
  <si>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</si>
  <si>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</si>
  <si>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</si>
  <si>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</si>
  <si>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</si>
  <si>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</si>
  <si>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</si>
  <si>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</si>
  <si>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</si>
  <si>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</si>
  <si>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</si>
  <si>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</si>
  <si>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</si>
  <si>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</si>
  <si>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</si>
  <si>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</si>
  <si>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</si>
  <si>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</si>
  <si>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</si>
  <si>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</si>
  <si>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</si>
  <si>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</si>
  <si>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</si>
  <si>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</si>
  <si>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</si>
  <si>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</si>
  <si>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</si>
  <si>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</si>
  <si>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</si>
  <si>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</si>
  <si>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</si>
  <si>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</si>
  <si>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</si>
  <si>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</si>
  <si>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</si>
  <si>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</si>
  <si>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</si>
  <si>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</si>
  <si>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</si>
  <si>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</si>
  <si>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</si>
  <si>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</si>
  <si>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</si>
  <si>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</si>
  <si>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</si>
  <si>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</si>
  <si>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</si>
  <si>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</si>
  <si>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</si>
  <si>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</si>
  <si>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</si>
  <si>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</si>
  <si>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</si>
  <si>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</si>
  <si>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</si>
  <si>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</si>
  <si>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</si>
  <si>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</si>
  <si>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</si>
  <si>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</si>
  <si>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</si>
  <si>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</si>
  <si>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</si>
  <si>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</si>
  <si>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</si>
  <si>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</si>
  <si>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</si>
  <si>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</si>
  <si>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</si>
  <si>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</si>
  <si>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</si>
  <si>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</si>
  <si>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</si>
  <si>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</si>
  <si>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</si>
  <si>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</si>
  <si>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</si>
  <si>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</si>
  <si>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</si>
  <si>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</si>
  <si>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</si>
  <si>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</si>
  <si>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</si>
  <si>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</si>
  <si>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</si>
  <si>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</si>
  <si>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</si>
  <si>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</si>
  <si>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</si>
  <si>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</si>
  <si>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</si>
  <si>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</si>
  <si>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</si>
  <si>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</si>
  <si>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</si>
  <si>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</si>
  <si>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</si>
  <si>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</si>
  <si>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</si>
  <si>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</si>
  <si>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</si>
  <si>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</si>
  <si>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</si>
  <si>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</si>
  <si>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</si>
  <si>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</si>
  <si>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</si>
  <si>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</si>
  <si>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</si>
  <si>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</si>
  <si>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</si>
  <si>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</si>
  <si>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</si>
  <si>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</si>
  <si>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</si>
  <si>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</si>
  <si>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</si>
  <si>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</si>
  <si>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</si>
  <si>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</si>
  <si>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</si>
  <si>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</si>
  <si>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</si>
  <si>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</si>
  <si>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</si>
  <si>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</si>
  <si>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</si>
  <si>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</si>
  <si>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</si>
  <si>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</si>
  <si>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</si>
  <si>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</si>
  <si>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</si>
  <si>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</si>
  <si>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</si>
  <si>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</si>
  <si>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</si>
  <si>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</si>
  <si>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</si>
  <si>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</si>
  <si>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</si>
  <si>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</si>
  <si>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</si>
  <si>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</si>
  <si>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</si>
  <si>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</si>
  <si>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</si>
  <si>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</si>
  <si>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</si>
  <si>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</si>
  <si>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</si>
  <si>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</si>
  <si>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</si>
  <si>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</si>
  <si>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</si>
  <si>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</si>
  <si>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</si>
  <si>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</si>
  <si>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</si>
  <si>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</si>
  <si>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</si>
  <si>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</si>
  <si>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</si>
  <si>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</si>
  <si>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</si>
  <si>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</si>
  <si>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</si>
  <si>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</si>
  <si>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</si>
  <si>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</si>
  <si>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</si>
  <si>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</si>
  <si>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</si>
  <si>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</si>
  <si>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</si>
  <si>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</si>
  <si>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</si>
  <si>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</si>
  <si>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</si>
  <si>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</si>
  <si>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</si>
  <si>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</si>
  <si>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</si>
  <si>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</si>
  <si>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</si>
  <si>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</si>
  <si>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</si>
  <si>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</si>
  <si>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</si>
  <si>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</si>
  <si>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</si>
  <si>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</si>
  <si>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</si>
  <si>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</si>
  <si>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</si>
  <si>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</si>
  <si>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</si>
  <si>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</si>
  <si>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</si>
  <si>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</si>
  <si>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</si>
  <si>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</si>
  <si>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</si>
  <si>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</si>
  <si>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</si>
  <si>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</si>
  <si>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</si>
  <si>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</si>
  <si>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</si>
  <si>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</si>
  <si>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</si>
  <si>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</si>
  <si>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</si>
  <si>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</si>
  <si>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</si>
  <si>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</si>
  <si>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</si>
  <si>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</si>
  <si>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</si>
  <si>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</si>
  <si>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</si>
  <si>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</si>
  <si>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</si>
  <si>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</si>
  <si>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</si>
  <si>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</si>
  <si>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</si>
  <si>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</si>
  <si>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</si>
  <si>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</si>
  <si>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</si>
  <si>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</si>
  <si>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</si>
  <si>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</si>
  <si>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</si>
  <si>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</si>
  <si>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</si>
  <si>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</si>
  <si>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</si>
  <si>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</si>
  <si>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</si>
  <si>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</si>
  <si>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</si>
  <si>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</si>
  <si>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</si>
  <si>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</si>
  <si>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</si>
  <si>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</si>
  <si>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</si>
  <si>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</si>
  <si>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</si>
  <si>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</si>
  <si>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</si>
  <si>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</si>
  <si>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</si>
  <si>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</si>
  <si>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</si>
  <si>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</si>
  <si>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</si>
  <si>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</si>
  <si>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</si>
  <si>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</si>
  <si>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</si>
  <si>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</si>
  <si>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</si>
  <si>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</si>
  <si>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</si>
  <si>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</si>
  <si>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</si>
  <si>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</si>
  <si>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</si>
  <si>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</si>
  <si>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</si>
  <si>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</si>
  <si>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</si>
  <si>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</si>
  <si>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</si>
  <si>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</si>
  <si>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</si>
  <si>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</si>
  <si>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</si>
  <si>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</si>
  <si>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</si>
  <si>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</si>
  <si>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</si>
  <si>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</si>
  <si>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</si>
  <si>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</si>
  <si>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</si>
  <si>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</si>
  <si>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</si>
  <si>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</si>
  <si>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</si>
  <si>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</si>
  <si>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</si>
  <si>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</si>
  <si>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</si>
  <si>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</si>
  <si>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</si>
  <si>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</si>
  <si>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</si>
  <si>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</si>
  <si>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</si>
  <si>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</si>
  <si>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</si>
  <si>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</si>
  <si>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</si>
  <si>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</si>
  <si>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</si>
  <si>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</si>
  <si>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</si>
  <si>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</si>
  <si>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</si>
  <si>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</si>
  <si>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</si>
  <si>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</si>
  <si>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</si>
  <si>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</si>
  <si>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</si>
  <si>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</si>
  <si>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</si>
  <si>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</si>
  <si>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</si>
  <si>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</si>
  <si>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</si>
  <si>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</si>
  <si>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</si>
  <si>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</si>
  <si>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</si>
  <si>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</si>
  <si>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</si>
  <si>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</si>
  <si>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</si>
  <si>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</si>
  <si>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</si>
  <si>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</si>
  <si>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</si>
  <si>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</si>
  <si>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</si>
  <si>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</si>
  <si>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</si>
  <si>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</si>
  <si>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</si>
  <si>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</si>
  <si>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</si>
  <si>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</si>
  <si>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</si>
  <si>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</si>
  <si>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</si>
  <si>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</si>
  <si>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</si>
  <si>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</si>
  <si>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</si>
  <si>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</si>
  <si>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</si>
  <si>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</si>
  <si>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</si>
  <si>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</si>
  <si>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</si>
  <si>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</si>
  <si>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</si>
  <si>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</si>
  <si>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</si>
  <si>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</si>
  <si>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</si>
  <si>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</si>
  <si>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</si>
  <si>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</si>
  <si>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</si>
  <si>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</si>
  <si>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</si>
  <si>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</si>
  <si>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</si>
  <si>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</si>
  <si>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</si>
  <si>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</si>
  <si>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</si>
  <si>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</si>
  <si>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</si>
  <si>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</si>
  <si>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</si>
  <si>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</si>
  <si>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</si>
  <si>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</si>
  <si>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</si>
  <si>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</si>
  <si>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</si>
  <si>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</si>
  <si>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</si>
  <si>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</si>
  <si>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</si>
  <si>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</si>
  <si>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</si>
  <si>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</si>
  <si>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</si>
  <si>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</si>
  <si>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</si>
  <si>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</si>
  <si>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</si>
  <si>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</si>
  <si>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</si>
  <si>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</si>
  <si>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</si>
  <si>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</si>
  <si>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</si>
  <si>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</si>
  <si>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</si>
  <si>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</si>
  <si>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</si>
  <si>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</si>
  <si>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</si>
  <si>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</si>
  <si>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</si>
  <si>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</si>
  <si>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</si>
  <si>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</si>
  <si>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</si>
  <si>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</si>
  <si>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</si>
  <si>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</si>
  <si>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</si>
  <si>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</si>
  <si>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</si>
  <si>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</si>
  <si>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</si>
  <si>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</si>
  <si>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</si>
  <si>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</si>
  <si>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</si>
  <si>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</si>
  <si>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</si>
  <si>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</si>
  <si>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</si>
  <si>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</si>
  <si>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</si>
  <si>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</si>
  <si>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</si>
  <si>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</si>
  <si>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</si>
  <si>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</si>
  <si>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</si>
  <si>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</si>
  <si>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</si>
  <si>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</si>
  <si>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</si>
  <si>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</si>
  <si>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</si>
  <si>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</si>
  <si>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</si>
  <si>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</si>
  <si>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</si>
  <si>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</si>
  <si>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</si>
  <si>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</si>
  <si>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</si>
  <si>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</si>
  <si>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</si>
  <si>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</si>
  <si>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</si>
  <si>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</si>
  <si>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</si>
  <si>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</si>
  <si>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</si>
  <si>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</si>
  <si>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</si>
  <si>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</si>
  <si>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</si>
  <si>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</si>
  <si>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</si>
  <si>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</si>
  <si>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</si>
  <si>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</si>
  <si>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</si>
  <si>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</si>
  <si>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</si>
  <si>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</si>
  <si>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</si>
  <si>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</si>
  <si>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</si>
  <si>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</si>
  <si>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</si>
  <si>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</si>
  <si>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</si>
  <si>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</si>
  <si>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</si>
  <si>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</si>
  <si>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</si>
  <si>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</si>
  <si>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</si>
  <si>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</si>
  <si>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</si>
  <si>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</si>
  <si>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</si>
  <si>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</si>
  <si>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</si>
  <si>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</si>
  <si>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</si>
  <si>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</si>
  <si>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</si>
  <si>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</si>
  <si>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</si>
  <si>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</si>
  <si>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</si>
  <si>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</si>
  <si>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</si>
  <si>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</si>
  <si>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</si>
  <si>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</si>
  <si>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</si>
  <si>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</si>
  <si>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</si>
  <si>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</si>
  <si>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</si>
  <si>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</si>
  <si>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</si>
  <si>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</si>
  <si>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</si>
  <si>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</si>
  <si>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</si>
  <si>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</si>
  <si>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</si>
  <si>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</si>
  <si>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</si>
  <si>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</si>
  <si>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</si>
  <si>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</si>
  <si>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</si>
  <si>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</si>
  <si>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</si>
  <si>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</si>
  <si>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</si>
  <si>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</si>
  <si>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</si>
  <si>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</si>
  <si>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</si>
  <si>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</si>
  <si>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</si>
  <si>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</si>
  <si>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</si>
  <si>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</si>
  <si>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</si>
  <si>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</si>
  <si>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</si>
  <si>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</si>
  <si>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</si>
  <si>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</si>
  <si>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</si>
  <si>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</si>
  <si>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</si>
  <si>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</si>
  <si>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</si>
  <si>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</si>
  <si>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</si>
  <si>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</si>
  <si>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</si>
  <si>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</si>
  <si>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</si>
  <si>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</si>
  <si>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</si>
  <si>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</si>
  <si>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</si>
  <si>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</si>
  <si>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</si>
  <si>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</si>
  <si>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</si>
  <si>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</si>
  <si>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</si>
  <si>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</si>
  <si>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</si>
  <si>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</si>
  <si>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</si>
  <si>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</si>
  <si>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</si>
  <si>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</si>
  <si>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</si>
  <si>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</si>
  <si>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</si>
  <si>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</si>
  <si>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</si>
  <si>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</si>
  <si>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</si>
  <si>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</si>
  <si>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</si>
  <si>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</si>
  <si>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</si>
  <si>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</si>
  <si>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</si>
  <si>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</si>
  <si>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</si>
  <si>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</si>
  <si>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</si>
  <si>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</si>
  <si>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</si>
  <si>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</si>
  <si>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</si>
  <si>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</si>
  <si>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</si>
  <si>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</si>
  <si>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</si>
  <si>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</si>
  <si>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</si>
  <si>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</si>
  <si>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</si>
  <si>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</si>
  <si>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</si>
  <si>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</si>
  <si>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</si>
  <si>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</si>
  <si>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</si>
  <si>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</si>
  <si>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</si>
  <si>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</si>
  <si>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</si>
  <si>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</si>
  <si>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</si>
  <si>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</si>
  <si>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</si>
  <si>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</si>
  <si>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</si>
  <si>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</si>
  <si>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</si>
  <si>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</si>
  <si>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</si>
  <si>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</si>
  <si>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</si>
  <si>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</si>
  <si>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</si>
  <si>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</si>
  <si>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</si>
  <si>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</si>
  <si>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</si>
  <si>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</si>
  <si>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</si>
  <si>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</si>
  <si>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</si>
  <si>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</si>
  <si>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</si>
  <si>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</si>
  <si>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</si>
  <si>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</si>
  <si>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</si>
  <si>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</si>
  <si>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</si>
  <si>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</si>
  <si>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</si>
  <si>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</si>
  <si>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</si>
  <si>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</si>
  <si>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</si>
  <si>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</si>
  <si>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</si>
  <si>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</si>
  <si>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</si>
  <si>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</si>
  <si>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</si>
  <si>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</si>
  <si>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</si>
  <si>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</si>
  <si>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</si>
  <si>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</si>
  <si>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</si>
  <si>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</si>
  <si>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</si>
  <si>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</si>
  <si>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</si>
  <si>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</si>
  <si>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</si>
  <si>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</si>
  <si>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</si>
  <si>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</si>
  <si>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</si>
  <si>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</si>
  <si>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</si>
  <si>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</si>
  <si>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</si>
  <si>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</si>
  <si>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</si>
  <si>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</si>
  <si>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</si>
  <si>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</si>
  <si>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</si>
  <si>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</si>
  <si>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</si>
  <si>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</si>
  <si>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</si>
  <si>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</si>
  <si>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</si>
  <si>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</si>
  <si>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</si>
  <si>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</si>
  <si>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</si>
  <si>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</si>
  <si>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</si>
  <si>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</si>
  <si>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</si>
  <si>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</si>
  <si>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</si>
  <si>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</si>
  <si>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</si>
  <si>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</si>
  <si>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</si>
  <si>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</si>
  <si>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</si>
  <si>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</si>
  <si>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</si>
  <si>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</si>
  <si>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</si>
  <si>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</si>
  <si>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</si>
  <si>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</si>
  <si>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</si>
  <si>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</si>
  <si>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</si>
  <si>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</si>
  <si>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</si>
  <si>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</si>
  <si>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</si>
  <si>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</si>
  <si>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</si>
  <si>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</si>
  <si>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</si>
  <si>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</si>
  <si>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</si>
  <si>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</si>
  <si>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</si>
  <si>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</si>
  <si>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</si>
  <si>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</si>
  <si>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</si>
  <si>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</si>
  <si>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</si>
  <si>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</si>
  <si>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</si>
  <si>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</si>
  <si>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</si>
  <si>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</si>
  <si>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</si>
  <si>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</si>
  <si>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</si>
  <si>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</si>
  <si>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</si>
  <si>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</si>
  <si>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</si>
  <si>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</si>
  <si>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</si>
  <si>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</si>
  <si>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</si>
  <si>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</si>
  <si>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</si>
  <si>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</si>
  <si>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</si>
  <si>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</si>
  <si>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</si>
  <si>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</si>
  <si>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</si>
  <si>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</si>
  <si>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</si>
  <si>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</si>
  <si>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</si>
  <si>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</si>
  <si>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</si>
  <si>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</si>
  <si>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</si>
  <si>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</si>
  <si>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</si>
  <si>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</si>
  <si>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</si>
  <si>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</si>
  <si>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</si>
  <si>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</si>
  <si>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</si>
  <si>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</si>
  <si>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</si>
  <si>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</si>
  <si>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</si>
  <si>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</si>
  <si>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</si>
  <si>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</si>
  <si>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</si>
  <si>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</si>
  <si>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</si>
  <si>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</si>
  <si>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</si>
  <si>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</si>
  <si>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</si>
  <si>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</si>
  <si>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</si>
  <si>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</si>
  <si>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</si>
  <si>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</si>
  <si>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</si>
  <si>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</si>
  <si>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</si>
  <si>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</si>
  <si>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</si>
  <si>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</si>
  <si>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</si>
  <si>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</si>
  <si>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</si>
  <si>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</si>
  <si>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</si>
  <si>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</si>
  <si>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</si>
  <si>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</si>
  <si>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</si>
  <si>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</si>
  <si>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</si>
  <si>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</si>
  <si>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</si>
  <si>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</si>
  <si>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</si>
  <si>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</si>
  <si>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</si>
  <si>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</si>
  <si>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</si>
  <si>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</si>
  <si>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</si>
  <si>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</si>
  <si>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</si>
  <si>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</si>
  <si>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</si>
  <si>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</si>
  <si>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</si>
  <si>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</si>
  <si>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</si>
  <si>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</si>
  <si>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</si>
  <si>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</si>
  <si>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</si>
  <si>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</si>
  <si>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</si>
  <si>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</si>
  <si>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</si>
  <si>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</si>
  <si>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</si>
  <si>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</si>
  <si>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</si>
  <si>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</si>
  <si>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</si>
  <si>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</si>
  <si>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</si>
  <si>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</si>
  <si>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</si>
  <si>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</si>
  <si>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</si>
  <si>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</si>
  <si>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</si>
  <si>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</si>
  <si>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</si>
  <si>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</si>
  <si>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</si>
  <si>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</si>
  <si>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</si>
  <si>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</si>
  <si>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</si>
  <si>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</si>
  <si>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</si>
  <si>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</si>
  <si>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</si>
  <si>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</si>
  <si>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</si>
  <si>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</si>
  <si>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</si>
  <si>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</si>
  <si>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</si>
  <si>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</si>
  <si>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</si>
  <si>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</si>
  <si>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</si>
  <si>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</si>
  <si>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</si>
  <si>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</si>
  <si>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</si>
  <si>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</si>
  <si>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</si>
  <si>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</si>
  <si>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</si>
  <si>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</si>
  <si>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</si>
  <si>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</si>
  <si>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</si>
  <si>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</si>
  <si>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</si>
  <si>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</si>
  <si>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</si>
  <si>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</si>
  <si>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</si>
  <si>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</si>
  <si>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</si>
  <si>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</si>
  <si>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</si>
  <si>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</si>
  <si>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</si>
  <si>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</si>
  <si>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</si>
  <si>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</si>
  <si>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</si>
  <si>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</si>
  <si>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</si>
  <si>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</si>
  <si>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</si>
  <si>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</si>
  <si>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</si>
  <si>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</si>
  <si>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</si>
  <si>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</si>
  <si>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</si>
  <si>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</si>
  <si>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</si>
  <si>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</si>
  <si>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</si>
  <si>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</si>
  <si>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</si>
  <si>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</si>
  <si>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</si>
  <si>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</si>
  <si>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</si>
  <si>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</si>
  <si>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</si>
  <si>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</si>
  <si>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</si>
  <si>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</si>
  <si>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</si>
  <si>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</si>
  <si>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</si>
  <si>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</si>
  <si>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</si>
  <si>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</si>
  <si>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</si>
  <si>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</si>
  <si>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</si>
  <si>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</si>
  <si>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</si>
  <si>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</si>
  <si>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</si>
  <si>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</si>
  <si>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</si>
  <si>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</si>
  <si>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</si>
  <si>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</si>
  <si>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</si>
  <si>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</si>
  <si>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</si>
  <si>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</si>
  <si>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</si>
  <si>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</si>
  <si>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</si>
  <si>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</si>
  <si>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</si>
  <si>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</si>
  <si>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</si>
  <si>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</si>
  <si>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</si>
  <si>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</si>
  <si>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</si>
  <si>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</si>
  <si>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</si>
  <si>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</si>
  <si>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</si>
  <si>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</si>
  <si>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</si>
  <si>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</si>
  <si>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</si>
  <si>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</si>
  <si>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</si>
  <si>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</si>
  <si>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</si>
  <si>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</si>
  <si>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</si>
  <si>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</si>
  <si>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</si>
  <si>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</si>
  <si>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</si>
  <si>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</si>
  <si>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</si>
  <si>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</si>
  <si>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</si>
  <si>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</si>
  <si>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</si>
  <si>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</si>
  <si>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</si>
  <si>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</si>
  <si>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</si>
  <si>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</si>
  <si>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</si>
  <si>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</si>
  <si>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</si>
  <si>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</si>
  <si>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</si>
  <si>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</si>
  <si>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</si>
  <si>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</si>
  <si>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</si>
  <si>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</si>
  <si>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</si>
  <si>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</si>
  <si>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</si>
  <si>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</si>
  <si>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</si>
  <si>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</si>
  <si>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</si>
  <si>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</si>
  <si>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</si>
  <si>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</si>
  <si>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</si>
  <si>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</si>
  <si>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</si>
  <si>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</si>
  <si>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</si>
  <si>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</si>
  <si>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</si>
  <si>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</si>
  <si>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</si>
  <si>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</si>
  <si>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</si>
  <si>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</si>
  <si>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</si>
  <si>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</si>
  <si>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</si>
  <si>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</si>
  <si>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</si>
  <si>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</si>
  <si>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</si>
  <si>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</si>
  <si>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</si>
  <si>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</si>
  <si>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</si>
  <si>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</si>
  <si>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</si>
  <si>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</si>
  <si>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</si>
  <si>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</si>
  <si>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</si>
  <si>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</si>
  <si>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</si>
  <si>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</si>
  <si>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</si>
  <si>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</si>
  <si>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</si>
  <si>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</si>
  <si>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</si>
  <si>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</si>
  <si>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</si>
  <si>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</si>
  <si>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</si>
  <si>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</si>
  <si>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</si>
  <si>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</si>
  <si>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</si>
  <si>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</si>
  <si>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</si>
  <si>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</si>
  <si>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</si>
  <si>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</si>
  <si>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</si>
  <si>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</si>
  <si>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</si>
  <si>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</si>
  <si>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</si>
  <si>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</si>
  <si>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</si>
  <si>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</si>
  <si>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</si>
  <si>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</si>
  <si>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</si>
  <si>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</si>
  <si>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</si>
  <si>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</si>
  <si>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</si>
  <si>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</si>
  <si>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</si>
  <si>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</si>
  <si>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</si>
  <si>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</si>
  <si>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</si>
  <si>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</si>
  <si>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</si>
  <si>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</si>
  <si>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</si>
  <si>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</si>
  <si>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</si>
  <si>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</si>
  <si>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</si>
  <si>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</si>
  <si>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</si>
  <si>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</si>
  <si>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</si>
  <si>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</si>
  <si>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</si>
  <si>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</si>
  <si>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</si>
  <si>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</si>
  <si>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</si>
  <si>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</si>
  <si>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</si>
  <si>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</si>
  <si>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</si>
  <si>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</si>
  <si>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</si>
  <si>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</si>
  <si>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</si>
  <si>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</si>
  <si>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</si>
  <si>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</si>
  <si>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</si>
  <si>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</si>
  <si>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</si>
  <si>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</si>
  <si>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</si>
  <si>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</si>
  <si>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</si>
  <si>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</si>
  <si>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</si>
  <si>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</si>
  <si>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</si>
  <si>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</si>
  <si>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</si>
  <si>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</si>
  <si>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</si>
  <si>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</si>
  <si>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</si>
  <si>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</si>
  <si>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</si>
  <si>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</si>
  <si>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</si>
  <si>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</si>
  <si>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</si>
  <si>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</si>
  <si>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</si>
  <si>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</si>
  <si>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</si>
  <si>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</si>
  <si>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</si>
  <si>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</si>
  <si>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</si>
  <si>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</si>
  <si>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</si>
  <si>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</si>
  <si>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</si>
  <si>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</si>
  <si>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</si>
  <si>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</si>
  <si>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</si>
  <si>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</si>
  <si>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</si>
  <si>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</si>
  <si>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</si>
  <si>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</si>
  <si>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</si>
  <si>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</si>
  <si>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</si>
  <si>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</si>
  <si>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</si>
  <si>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</si>
  <si>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</si>
  <si>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</si>
  <si>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</si>
  <si>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</si>
  <si>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</si>
  <si>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</si>
  <si>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</si>
  <si>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</si>
  <si>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</si>
  <si>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</si>
  <si>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</si>
  <si>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</si>
  <si>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</si>
  <si>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</si>
  <si>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</si>
  <si>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</si>
  <si>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</si>
  <si>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</si>
  <si>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</si>
  <si>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</si>
  <si>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</si>
  <si>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</si>
  <si>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</si>
  <si>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</si>
  <si>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</si>
  <si>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</si>
  <si>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</si>
  <si>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</si>
  <si>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</si>
  <si>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</si>
  <si>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</si>
  <si>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</si>
  <si>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</si>
  <si>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</si>
  <si>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</si>
  <si>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</si>
  <si>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</si>
  <si>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</si>
  <si>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</si>
  <si>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 xml:space="preserve">Rare Tumor SW 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</si>
  <si>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</si>
  <si>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</si>
  <si>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</si>
  <si>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</si>
  <si>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</si>
  <si>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</si>
  <si>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 xml:space="preserve">100.00 Niro-No Program </t>
  </si>
  <si>
    <t>100.10 Niro, DT</t>
  </si>
  <si>
    <t xml:space="preserve">100.11 Niro, MM-GSK </t>
  </si>
  <si>
    <t xml:space="preserve">100.15 Niro, MM 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</si>
  <si>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</si>
  <si>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</si>
  <si>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</si>
  <si>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</si>
  <si>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</si>
  <si>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</si>
  <si>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</si>
  <si>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</si>
  <si>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</si>
  <si>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</si>
  <si>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</si>
  <si>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</si>
  <si>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</si>
  <si>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</si>
  <si>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</si>
  <si>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</si>
  <si>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</si>
  <si>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</si>
  <si>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</si>
  <si>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</si>
  <si>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</si>
  <si>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</si>
  <si>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</si>
  <si>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</si>
  <si>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</si>
  <si>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</si>
  <si>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</si>
  <si>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</si>
  <si>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</si>
  <si>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</si>
  <si>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 xml:space="preserve">L000013128 </t>
  </si>
  <si>
    <t>FR8196697</t>
  </si>
  <si>
    <t>L000005495</t>
  </si>
  <si>
    <t>L000013187 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</si>
  <si>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</si>
  <si>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</si>
  <si>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</si>
  <si>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</si>
  <si>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</si>
  <si>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</si>
  <si>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</si>
  <si>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Please dump all objects to O000000007 – Closed Cost Centers</t>
  </si>
  <si>
    <t>G000000235</t>
  </si>
  <si>
    <t>FR8204813</t>
  </si>
  <si>
    <t xml:space="preserve">L000013928 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</si>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</sst>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3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</cellXfs>
  <cellStyles count="93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47" totalsRowShown="0">
  <autoFilter ref="A1:M847" xr:uid="{00000000-000C-0000-FFFF-FFFF00000000}">
    <filterColumn colId="10">
      <filters>
        <filter val="Please dump all objects to O000000007 – Closed Cost Centers"/>
        <filter val="todo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/>
  <cols>
    <col min="1" max="1" width="14.85546875" bestFit="1" customWidth="1"/>
    <col min="2" max="2" width="14.7109375" bestFit="1" customWidth="1"/>
  </cols>
  <sheetData>
    <row r="1" spans="1:2">
      <c r="A1" s="45" t="s">
        <v>0</v>
      </c>
    </row>
    <row r="3" spans="1:2">
      <c r="A3" s="45" t="s">
        <v>11</v>
      </c>
      <c r="B3" t="s">
        <v>6619</v>
      </c>
    </row>
    <row r="4" spans="1:2">
      <c r="A4" s="32" t="s">
        <v>8066</v>
      </c>
      <c r="B4" s="44">
        <v>1</v>
      </c>
    </row>
    <row r="5" spans="1:2">
      <c r="A5" s="67" t="s">
        <v>8557</v>
      </c>
      <c r="B5" s="44">
        <v>1</v>
      </c>
    </row>
    <row r="6" spans="1:2">
      <c r="A6" s="32" t="s">
        <v>8149</v>
      </c>
      <c r="B6" s="44">
        <v>9</v>
      </c>
    </row>
    <row r="7" spans="1:2">
      <c r="A7" s="67" t="s">
        <v>8555</v>
      </c>
      <c r="B7" s="44">
        <v>7</v>
      </c>
    </row>
    <row r="8" spans="1:2">
      <c r="A8" s="67" t="s">
        <v>8556</v>
      </c>
      <c r="B8" s="44">
        <v>2</v>
      </c>
    </row>
    <row r="9" spans="1:2">
      <c r="A9" s="32" t="s">
        <v>8551</v>
      </c>
      <c r="B9" s="44">
        <v>386</v>
      </c>
    </row>
    <row r="10" spans="1:2">
      <c r="A10" s="67" t="s">
        <v>8555</v>
      </c>
      <c r="B10" s="44">
        <v>151</v>
      </c>
    </row>
    <row r="11" spans="1:2">
      <c r="A11" s="67" t="s">
        <v>8556</v>
      </c>
      <c r="B11" s="44">
        <v>235</v>
      </c>
    </row>
    <row r="12" spans="1:2">
      <c r="A12" s="32" t="s">
        <v>8553</v>
      </c>
      <c r="B12" s="44">
        <v>3</v>
      </c>
    </row>
    <row r="13" spans="1:2">
      <c r="A13" s="67" t="s">
        <v>8555</v>
      </c>
      <c r="B13" s="44">
        <v>3</v>
      </c>
    </row>
    <row r="14" spans="1:2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47"/>
  <sheetViews>
    <sheetView tabSelected="1" zoomScale="115" zoomScaleNormal="115" workbookViewId="0">
      <selection activeCell="K828" sqref="K828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/>
      <c r="M26" s="9" t="s">
        <v>7943</v>
      </c>
    </row>
    <row r="27" spans="1:13" hidden="1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/>
      <c r="M27" s="36" t="s">
        <v>7943</v>
      </c>
    </row>
    <row r="28" spans="1:13" hidden="1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/>
      <c r="M28" s="36" t="s">
        <v>7943</v>
      </c>
    </row>
    <row r="29" spans="1:13" hidden="1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/>
      <c r="M29" s="36" t="s">
        <v>7943</v>
      </c>
    </row>
    <row r="30" spans="1:13" hidden="1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/>
      <c r="M30" s="36" t="s">
        <v>7943</v>
      </c>
    </row>
    <row r="31" spans="1:13" hidden="1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/>
      <c r="M31" s="36" t="s">
        <v>7943</v>
      </c>
    </row>
    <row r="32" spans="1:13" hidden="1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/>
      <c r="M32" s="36" t="s">
        <v>7943</v>
      </c>
    </row>
    <row r="33" spans="1:13" hidden="1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/>
      <c r="M33" s="36" t="s">
        <v>7943</v>
      </c>
    </row>
    <row r="34" spans="1:13" hidden="1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/>
      <c r="M34" s="36" t="s">
        <v>7943</v>
      </c>
    </row>
    <row r="35" spans="1:13" hidden="1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/>
      <c r="M35" s="36" t="s">
        <v>7943</v>
      </c>
    </row>
    <row r="36" spans="1:13" hidden="1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/>
      <c r="M36" s="36" t="s">
        <v>7943</v>
      </c>
    </row>
    <row r="37" spans="1:13" hidden="1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/>
      <c r="M37" s="36" t="s">
        <v>7943</v>
      </c>
    </row>
    <row r="38" spans="1:13" hidden="1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/>
      <c r="M38" s="36" t="s">
        <v>7943</v>
      </c>
    </row>
    <row r="39" spans="1:13" hidden="1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/>
      <c r="M39" s="36" t="s">
        <v>7943</v>
      </c>
    </row>
    <row r="40" spans="1:13" hidden="1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/>
      <c r="M40" s="36" t="s">
        <v>7943</v>
      </c>
    </row>
    <row r="41" spans="1:13" hidden="1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/>
      <c r="M41" s="36" t="s">
        <v>7943</v>
      </c>
    </row>
    <row r="42" spans="1:13" hidden="1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/>
      <c r="M42" s="36" t="s">
        <v>7943</v>
      </c>
    </row>
    <row r="43" spans="1:13" hidden="1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/>
      <c r="M43" s="36" t="s">
        <v>7943</v>
      </c>
    </row>
    <row r="44" spans="1:13" hidden="1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/>
      <c r="M44" s="36" t="s">
        <v>7943</v>
      </c>
    </row>
    <row r="45" spans="1:13" hidden="1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/>
      <c r="M45" s="36" t="s">
        <v>7943</v>
      </c>
    </row>
    <row r="46" spans="1:13" hidden="1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/>
      <c r="M46" s="36" t="s">
        <v>7943</v>
      </c>
    </row>
    <row r="47" spans="1:13" hidden="1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/>
      <c r="M47" s="36" t="s">
        <v>7943</v>
      </c>
    </row>
    <row r="48" spans="1:13" hidden="1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/>
      <c r="M48" s="36" t="s">
        <v>7943</v>
      </c>
    </row>
    <row r="49" spans="1:13" hidden="1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/>
      <c r="M49" s="36" t="s">
        <v>7943</v>
      </c>
    </row>
    <row r="50" spans="1:13" hidden="1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/>
      <c r="M50" s="36" t="s">
        <v>7943</v>
      </c>
    </row>
    <row r="51" spans="1:13" hidden="1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/>
      <c r="M51" s="36" t="s">
        <v>7943</v>
      </c>
    </row>
    <row r="52" spans="1:13" hidden="1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/>
      <c r="M56" s="9" t="s">
        <v>8016</v>
      </c>
    </row>
    <row r="57" spans="1:13" hidden="1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/>
      <c r="M57" s="36" t="s">
        <v>8016</v>
      </c>
    </row>
    <row r="58" spans="1:13" hidden="1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/>
      <c r="M58" s="36" t="s">
        <v>8016</v>
      </c>
    </row>
    <row r="59" spans="1:13" hidden="1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/>
      <c r="M59" s="36" t="s">
        <v>8016</v>
      </c>
    </row>
    <row r="60" spans="1:13" hidden="1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/>
      <c r="M60" s="36" t="s">
        <v>8016</v>
      </c>
    </row>
    <row r="61" spans="1:13" hidden="1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/>
      <c r="M61" s="36" t="s">
        <v>8016</v>
      </c>
    </row>
    <row r="62" spans="1:13" hidden="1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/>
      <c r="M62" s="36" t="s">
        <v>8016</v>
      </c>
    </row>
    <row r="63" spans="1:13" hidden="1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/>
      <c r="M63" s="36" t="s">
        <v>8016</v>
      </c>
    </row>
    <row r="64" spans="1:13" hidden="1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/>
      <c r="M64" s="36" t="s">
        <v>8016</v>
      </c>
    </row>
    <row r="65" spans="1:13" hidden="1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/>
      <c r="M65" s="36" t="s">
        <v>8016</v>
      </c>
    </row>
    <row r="66" spans="1:13" hidden="1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/>
      <c r="M66" s="36" t="s">
        <v>8016</v>
      </c>
    </row>
    <row r="67" spans="1:13" hidden="1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/>
      <c r="M67" s="36" t="s">
        <v>8016</v>
      </c>
    </row>
    <row r="68" spans="1:13" hidden="1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/>
      <c r="M68" s="36" t="s">
        <v>8016</v>
      </c>
    </row>
    <row r="69" spans="1:13" hidden="1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/>
      <c r="M69" s="36" t="s">
        <v>8016</v>
      </c>
    </row>
    <row r="70" spans="1:13" hidden="1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/>
      <c r="M70" s="36" t="s">
        <v>8016</v>
      </c>
    </row>
    <row r="71" spans="1:13" hidden="1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/>
      <c r="M71" s="36" t="s">
        <v>8016</v>
      </c>
    </row>
    <row r="72" spans="1:13" hidden="1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/>
      <c r="M72" s="36" t="s">
        <v>8016</v>
      </c>
    </row>
    <row r="73" spans="1:13" hidden="1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/>
      <c r="M73" s="36" t="s">
        <v>8016</v>
      </c>
    </row>
    <row r="74" spans="1:13" hidden="1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/>
      <c r="M74" s="36" t="s">
        <v>8016</v>
      </c>
    </row>
    <row r="75" spans="1:13" hidden="1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/>
      <c r="M75" s="36" t="s">
        <v>8016</v>
      </c>
    </row>
    <row r="76" spans="1:13" hidden="1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/>
      <c r="M76" s="36" t="s">
        <v>8016</v>
      </c>
    </row>
    <row r="77" spans="1:13" hidden="1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/>
      <c r="M77" s="36" t="s">
        <v>8016</v>
      </c>
    </row>
    <row r="78" spans="1:13" hidden="1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/>
      <c r="M78" s="36" t="s">
        <v>8016</v>
      </c>
    </row>
    <row r="79" spans="1:13" hidden="1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/>
      <c r="M79" s="36" t="s">
        <v>8016</v>
      </c>
    </row>
    <row r="80" spans="1:13" hidden="1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/>
      <c r="M80" s="36" t="s">
        <v>8016</v>
      </c>
    </row>
    <row r="81" spans="1:13" hidden="1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/>
      <c r="M81" s="36" t="s">
        <v>8016</v>
      </c>
    </row>
    <row r="82" spans="1:13" hidden="1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/>
      <c r="M82" s="36" t="s">
        <v>8016</v>
      </c>
    </row>
    <row r="83" spans="1:13" hidden="1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/>
      <c r="M83" s="36" t="s">
        <v>8016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/>
      <c r="M84" s="36" t="s">
        <v>8016</v>
      </c>
    </row>
    <row r="85" spans="1:13" hidden="1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/>
      <c r="M85" s="36" t="s">
        <v>8016</v>
      </c>
    </row>
    <row r="86" spans="1:13" hidden="1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/>
      <c r="M86" s="36" t="s">
        <v>8016</v>
      </c>
    </row>
    <row r="87" spans="1:13" hidden="1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/>
      <c r="M87" s="36" t="s">
        <v>8016</v>
      </c>
    </row>
    <row r="88" spans="1:13" hidden="1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/>
      <c r="M88" s="36" t="s">
        <v>8016</v>
      </c>
    </row>
    <row r="89" spans="1:13" hidden="1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/>
      <c r="M89" s="36" t="s">
        <v>8016</v>
      </c>
    </row>
    <row r="90" spans="1:13" hidden="1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/>
      <c r="M90" s="36" t="s">
        <v>8016</v>
      </c>
    </row>
    <row r="91" spans="1:13" hidden="1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/>
      <c r="M91" s="36" t="s">
        <v>8016</v>
      </c>
    </row>
    <row r="92" spans="1:13" hidden="1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/>
      <c r="M92" s="36" t="s">
        <v>8016</v>
      </c>
    </row>
    <row r="93" spans="1:13" hidden="1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/>
      <c r="M93" s="36" t="s">
        <v>8016</v>
      </c>
    </row>
    <row r="94" spans="1:13" hidden="1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/>
      <c r="M94" s="36" t="s">
        <v>8016</v>
      </c>
    </row>
    <row r="95" spans="1:13" hidden="1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/>
      <c r="M95" s="36" t="s">
        <v>8016</v>
      </c>
    </row>
    <row r="96" spans="1:13" hidden="1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/>
      <c r="M96" s="36" t="s">
        <v>8016</v>
      </c>
    </row>
    <row r="97" spans="1:13" hidden="1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/>
      <c r="M97" s="36" t="s">
        <v>8016</v>
      </c>
    </row>
    <row r="98" spans="1:13" hidden="1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/>
      <c r="M98" s="36" t="s">
        <v>8016</v>
      </c>
    </row>
    <row r="99" spans="1:13" hidden="1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/>
      <c r="M99" s="36" t="s">
        <v>8016</v>
      </c>
    </row>
    <row r="100" spans="1:13" hidden="1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/>
      <c r="M100" s="36" t="s">
        <v>8016</v>
      </c>
    </row>
    <row r="101" spans="1:13" hidden="1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/>
      <c r="M101" s="36" t="s">
        <v>8016</v>
      </c>
    </row>
    <row r="102" spans="1:13" hidden="1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/>
      <c r="M102" s="36" t="s">
        <v>8016</v>
      </c>
    </row>
    <row r="103" spans="1:13" hidden="1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/>
      <c r="M103" s="36" t="s">
        <v>8016</v>
      </c>
    </row>
    <row r="104" spans="1:13" hidden="1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/>
      <c r="M104" s="36" t="s">
        <v>8016</v>
      </c>
    </row>
    <row r="105" spans="1:13" hidden="1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/>
      <c r="M105" s="36" t="s">
        <v>8016</v>
      </c>
    </row>
    <row r="106" spans="1:13" hidden="1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/>
      <c r="M106" s="36" t="s">
        <v>8016</v>
      </c>
    </row>
    <row r="107" spans="1:13" hidden="1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/>
      <c r="M107" s="36" t="s">
        <v>8016</v>
      </c>
    </row>
    <row r="108" spans="1:13" hidden="1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/>
      <c r="M108" s="36" t="s">
        <v>8016</v>
      </c>
    </row>
    <row r="109" spans="1:13" hidden="1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/>
      <c r="M109" s="36" t="s">
        <v>8016</v>
      </c>
    </row>
    <row r="110" spans="1:13" hidden="1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/>
      <c r="M110" s="36" t="s">
        <v>8016</v>
      </c>
    </row>
    <row r="111" spans="1:13" hidden="1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/>
      <c r="M111" s="36" t="s">
        <v>8016</v>
      </c>
    </row>
    <row r="112" spans="1:13" hidden="1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/>
      <c r="M112" s="36" t="s">
        <v>8016</v>
      </c>
    </row>
    <row r="113" spans="1:13" hidden="1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/>
      <c r="M113" s="36" t="s">
        <v>8016</v>
      </c>
    </row>
    <row r="114" spans="1:13" hidden="1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/>
      <c r="M114" s="36" t="s">
        <v>8016</v>
      </c>
    </row>
    <row r="115" spans="1:13" hidden="1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/>
      <c r="M115" s="36" t="s">
        <v>8016</v>
      </c>
    </row>
    <row r="116" spans="1:13" hidden="1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/>
      <c r="M116" s="36" t="s">
        <v>8016</v>
      </c>
    </row>
    <row r="117" spans="1:13" hidden="1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/>
      <c r="M117" s="36" t="s">
        <v>8016</v>
      </c>
    </row>
    <row r="118" spans="1:13" hidden="1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/>
      <c r="M118" s="36" t="s">
        <v>8016</v>
      </c>
    </row>
    <row r="119" spans="1:13" hidden="1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/>
      <c r="M119" s="36" t="s">
        <v>8016</v>
      </c>
    </row>
    <row r="120" spans="1:13" hidden="1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/>
      <c r="M120" s="36" t="s">
        <v>8016</v>
      </c>
    </row>
    <row r="121" spans="1:13" hidden="1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/>
      <c r="M121" s="36" t="s">
        <v>8016</v>
      </c>
    </row>
    <row r="122" spans="1:13" hidden="1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/>
      <c r="M122" s="36" t="s">
        <v>8016</v>
      </c>
    </row>
    <row r="123" spans="1:13" hidden="1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/>
      <c r="M123" s="36" t="s">
        <v>8016</v>
      </c>
    </row>
    <row r="124" spans="1:13" hidden="1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/>
      <c r="M124" s="36" t="s">
        <v>8016</v>
      </c>
    </row>
    <row r="125" spans="1:13" hidden="1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/>
      <c r="M125" s="36" t="s">
        <v>8016</v>
      </c>
    </row>
    <row r="126" spans="1:13" hidden="1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/>
      <c r="M126" s="36" t="s">
        <v>8016</v>
      </c>
    </row>
    <row r="127" spans="1:13" hidden="1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/>
      <c r="M127" s="36" t="s">
        <v>8016</v>
      </c>
    </row>
    <row r="128" spans="1:13" hidden="1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/>
      <c r="M128" s="36" t="s">
        <v>8016</v>
      </c>
    </row>
    <row r="129" spans="1:13" hidden="1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/>
      <c r="M129" s="36" t="s">
        <v>8016</v>
      </c>
    </row>
    <row r="130" spans="1:13" hidden="1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/>
      <c r="M130" s="36" t="s">
        <v>8016</v>
      </c>
    </row>
    <row r="131" spans="1:13" hidden="1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/>
      <c r="M131" s="36" t="s">
        <v>8016</v>
      </c>
    </row>
    <row r="132" spans="1:13" hidden="1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/>
      <c r="M132" s="36" t="s">
        <v>8016</v>
      </c>
    </row>
    <row r="133" spans="1:13" hidden="1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/>
      <c r="M133" s="36" t="s">
        <v>8016</v>
      </c>
    </row>
    <row r="134" spans="1:13" hidden="1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/>
      <c r="M134" s="36" t="s">
        <v>8016</v>
      </c>
    </row>
    <row r="135" spans="1:13" hidden="1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/>
      <c r="M135" s="36" t="s">
        <v>8016</v>
      </c>
    </row>
    <row r="136" spans="1:13" hidden="1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/>
      <c r="M136" s="36" t="s">
        <v>8016</v>
      </c>
    </row>
    <row r="137" spans="1:13" hidden="1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/>
      <c r="M137" s="36" t="s">
        <v>8016</v>
      </c>
    </row>
    <row r="138" spans="1:13" hidden="1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/>
      <c r="M138" s="36" t="s">
        <v>8016</v>
      </c>
    </row>
    <row r="139" spans="1:13" hidden="1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/>
      <c r="M139" s="36" t="s">
        <v>8016</v>
      </c>
    </row>
    <row r="140" spans="1:13" hidden="1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/>
      <c r="M140" s="36" t="s">
        <v>8016</v>
      </c>
    </row>
    <row r="141" spans="1:13" hidden="1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/>
      <c r="M141" s="36" t="s">
        <v>8016</v>
      </c>
    </row>
    <row r="142" spans="1:13" hidden="1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/>
      <c r="M142" s="36" t="s">
        <v>8016</v>
      </c>
    </row>
    <row r="143" spans="1:13" hidden="1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/>
      <c r="M143" s="36" t="s">
        <v>8016</v>
      </c>
    </row>
    <row r="144" spans="1:13" hidden="1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/>
      <c r="M144" s="36" t="s">
        <v>8016</v>
      </c>
    </row>
    <row r="145" spans="1:13" hidden="1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/>
      <c r="M145" s="36" t="s">
        <v>8016</v>
      </c>
    </row>
    <row r="146" spans="1:13" hidden="1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/>
      <c r="M146" s="36" t="s">
        <v>8016</v>
      </c>
    </row>
    <row r="147" spans="1:13" hidden="1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/>
      <c r="M147" s="36" t="s">
        <v>8016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/>
      <c r="M148" s="36" t="s">
        <v>8016</v>
      </c>
    </row>
    <row r="149" spans="1:13" hidden="1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/>
      <c r="M149" s="36" t="s">
        <v>8016</v>
      </c>
    </row>
    <row r="150" spans="1:13" hidden="1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/>
      <c r="M150" s="36" t="s">
        <v>8016</v>
      </c>
    </row>
    <row r="151" spans="1:13" hidden="1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/>
      <c r="M151" s="36" t="s">
        <v>8016</v>
      </c>
    </row>
    <row r="152" spans="1:13" hidden="1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/>
      <c r="M152" s="36" t="s">
        <v>8016</v>
      </c>
    </row>
    <row r="153" spans="1:13" hidden="1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/>
      <c r="M154" s="9" t="s">
        <v>8113</v>
      </c>
    </row>
    <row r="155" spans="1:13" hidden="1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/>
      <c r="M155" s="36" t="s">
        <v>8113</v>
      </c>
    </row>
    <row r="156" spans="1:13" hidden="1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/>
      <c r="M156" s="36" t="s">
        <v>8113</v>
      </c>
    </row>
    <row r="157" spans="1:13" hidden="1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/>
      <c r="M157" s="36" t="s">
        <v>8113</v>
      </c>
    </row>
    <row r="158" spans="1:13" hidden="1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/>
      <c r="M158" s="36" t="s">
        <v>8113</v>
      </c>
    </row>
    <row r="159" spans="1:13" hidden="1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/>
      <c r="M159" s="36" t="s">
        <v>8113</v>
      </c>
    </row>
    <row r="160" spans="1:13" hidden="1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/>
      <c r="M160" s="36" t="s">
        <v>8113</v>
      </c>
    </row>
    <row r="161" spans="1:13" hidden="1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/>
      <c r="M161" s="36" t="s">
        <v>8113</v>
      </c>
    </row>
    <row r="162" spans="1:13" hidden="1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/>
      <c r="M162" s="36" t="s">
        <v>8113</v>
      </c>
    </row>
    <row r="163" spans="1:13" hidden="1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/>
      <c r="M163" s="36" t="s">
        <v>8113</v>
      </c>
    </row>
    <row r="164" spans="1:13" hidden="1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/>
      <c r="M164" s="36" t="s">
        <v>8113</v>
      </c>
    </row>
    <row r="165" spans="1:13" hidden="1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/>
      <c r="M165" s="36" t="s">
        <v>8113</v>
      </c>
    </row>
    <row r="166" spans="1:13" hidden="1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/>
      <c r="M166" s="36" t="s">
        <v>8113</v>
      </c>
    </row>
    <row r="167" spans="1:13" hidden="1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/>
      <c r="M167" s="36" t="s">
        <v>8113</v>
      </c>
    </row>
    <row r="168" spans="1:13" hidden="1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/>
      <c r="M168" s="36" t="s">
        <v>8113</v>
      </c>
    </row>
    <row r="169" spans="1:13" hidden="1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/>
      <c r="M169" s="36" t="s">
        <v>8113</v>
      </c>
    </row>
    <row r="170" spans="1:13" hidden="1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/>
      <c r="M170" s="36" t="s">
        <v>8113</v>
      </c>
    </row>
    <row r="171" spans="1:13" hidden="1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/>
      <c r="M171" s="36" t="s">
        <v>8113</v>
      </c>
    </row>
    <row r="172" spans="1:13" hidden="1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/>
      <c r="M172" s="36" t="s">
        <v>8113</v>
      </c>
    </row>
    <row r="173" spans="1:13" hidden="1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/>
      <c r="M173" s="36" t="s">
        <v>8113</v>
      </c>
    </row>
    <row r="174" spans="1:13" hidden="1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/>
      <c r="M174" s="36" t="s">
        <v>8113</v>
      </c>
    </row>
    <row r="175" spans="1:13" hidden="1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/>
      <c r="M175" s="36" t="s">
        <v>8113</v>
      </c>
    </row>
    <row r="176" spans="1:13" hidden="1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/>
      <c r="M176" s="36" t="s">
        <v>8113</v>
      </c>
    </row>
    <row r="177" spans="1:13" hidden="1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/>
      <c r="M177" s="36" t="s">
        <v>8113</v>
      </c>
    </row>
    <row r="178" spans="1:13" hidden="1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/>
      <c r="M178" s="36" t="s">
        <v>8113</v>
      </c>
    </row>
    <row r="179" spans="1:13" hidden="1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/>
      <c r="M179" s="36" t="s">
        <v>8113</v>
      </c>
    </row>
    <row r="180" spans="1:13" hidden="1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/>
      <c r="M180" s="36" t="s">
        <v>8113</v>
      </c>
    </row>
    <row r="181" spans="1:13" hidden="1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/>
      <c r="M181" s="36" t="s">
        <v>8113</v>
      </c>
    </row>
    <row r="182" spans="1:13" hidden="1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/>
      <c r="M182" s="36" t="s">
        <v>8113</v>
      </c>
    </row>
    <row r="183" spans="1:13" hidden="1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/>
      <c r="M186" s="9" t="s">
        <v>8129</v>
      </c>
    </row>
    <row r="187" spans="1:13" hidden="1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/>
      <c r="M187" s="36" t="s">
        <v>8129</v>
      </c>
    </row>
    <row r="188" spans="1:13" hidden="1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/>
      <c r="M188" s="36" t="s">
        <v>8129</v>
      </c>
    </row>
    <row r="189" spans="1:13" hidden="1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/>
      <c r="M189" s="36" t="s">
        <v>8129</v>
      </c>
    </row>
    <row r="190" spans="1:13" hidden="1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/>
      <c r="M190" s="36" t="s">
        <v>8129</v>
      </c>
    </row>
    <row r="191" spans="1:13" hidden="1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/>
      <c r="M191" s="36" t="s">
        <v>8129</v>
      </c>
    </row>
    <row r="192" spans="1:13" hidden="1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/>
      <c r="M192" s="36" t="s">
        <v>8129</v>
      </c>
    </row>
    <row r="193" spans="1:13" hidden="1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/>
      <c r="M193" s="36" t="s">
        <v>8129</v>
      </c>
    </row>
    <row r="194" spans="1:13" hidden="1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/>
      <c r="M194" s="36" t="s">
        <v>8129</v>
      </c>
    </row>
    <row r="195" spans="1:13" hidden="1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/>
      <c r="M195" s="36" t="s">
        <v>8129</v>
      </c>
    </row>
    <row r="196" spans="1:13" hidden="1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hidden="1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hidden="1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hidden="1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hidden="1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hidden="1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hidden="1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hidden="1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hidden="1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hidden="1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8715</v>
      </c>
      <c r="D595" s="9" t="s">
        <v>8710</v>
      </c>
      <c r="E595" s="38" t="s">
        <v>8711</v>
      </c>
      <c r="G595" s="9" t="s">
        <v>15</v>
      </c>
      <c r="H595" s="36" t="str">
        <f>IFERROR(VLOOKUP(Table2[[#This Row], [Ticket]],Okey!A:B,2,0),"")</f>
        <v/>
      </c>
      <c r="K595" s="9" t="s">
        <v>7857</v>
      </c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8715</v>
      </c>
      <c r="D596" s="36" t="s">
        <v>8868</v>
      </c>
      <c r="E596" s="9" t="s">
        <v>8712</v>
      </c>
      <c r="F596" s="9" t="s">
        <v>8710</v>
      </c>
      <c r="G596" s="9" t="s">
        <v>14</v>
      </c>
      <c r="H596" s="36" t="str">
        <f>IFERROR(VLOOKUP(Table2[[#This Row], [Ticket]],Okey!A:B,2,0),"")</f>
        <v/>
      </c>
      <c r="K596" s="9" t="s">
        <v>8705</v>
      </c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8715</v>
      </c>
      <c r="D597" s="36" t="s">
        <v>8869</v>
      </c>
      <c r="E597" s="9" t="s">
        <v>8713</v>
      </c>
      <c r="F597" s="9" t="s">
        <v>8710</v>
      </c>
      <c r="G597" s="36" t="s">
        <v>14</v>
      </c>
      <c r="H597" s="36" t="str">
        <f>IFERROR(VLOOKUP(Table2[[#This Row], [Ticket]],Okey!A:B,2,0),"")</f>
        <v/>
      </c>
      <c r="K597" s="36" t="s">
        <v>8705</v>
      </c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8715</v>
      </c>
      <c r="D598" s="36" t="s">
        <v>8870</v>
      </c>
      <c r="E598" s="9" t="s">
        <v>8714</v>
      </c>
      <c r="F598" s="9" t="s">
        <v>8710</v>
      </c>
      <c r="G598" s="36" t="s">
        <v>14</v>
      </c>
      <c r="H598" s="36" t="str">
        <f>IFERROR(VLOOKUP(Table2[[#This Row], [Ticket]],Okey!A:B,2,0),"")</f>
        <v/>
      </c>
      <c r="K598" s="36" t="s">
        <v>8705</v>
      </c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8716</v>
      </c>
      <c r="D599" s="9" t="s">
        <v>8871</v>
      </c>
      <c r="E599" s="9" t="s">
        <v>8717</v>
      </c>
      <c r="F599" s="9" t="s">
        <v>3655</v>
      </c>
      <c r="G599" s="36" t="s">
        <v>14</v>
      </c>
      <c r="H599" s="36" t="str">
        <f>IFERROR(VLOOKUP(Table2[[#This Row], [Ticket]],Okey!A:B,2,0),"")</f>
        <v/>
      </c>
      <c r="K599" s="36" t="s">
        <v>8705</v>
      </c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8718</v>
      </c>
      <c r="D600" s="36" t="s">
        <v>8872</v>
      </c>
      <c r="E600" s="9" t="s">
        <v>8719</v>
      </c>
      <c r="F600" s="9" t="s">
        <v>3167</v>
      </c>
      <c r="G600" s="36" t="s">
        <v>14</v>
      </c>
      <c r="H600" s="36" t="str">
        <f>IFERROR(VLOOKUP(Table2[[#This Row], [Ticket]],Okey!A:B,2,0),"")</f>
        <v/>
      </c>
      <c r="K600" s="36" t="s">
        <v>8705</v>
      </c>
      <c r="M600" s="9" t="s">
        <v>8016</v>
      </c>
    </row>
    <row r="601" spans="1:13" hidden="1">
      <c r="A601" s="42">
        <f t="shared" si="10"/>
        <v>600</v>
      </c>
      <c r="B601" s="36" t="s">
        <v>6</v>
      </c>
      <c r="C601" s="36" t="s">
        <v>8718</v>
      </c>
      <c r="D601" s="9" t="s">
        <v>8873</v>
      </c>
      <c r="E601" s="9" t="s">
        <v>8720</v>
      </c>
      <c r="F601" s="9" t="s">
        <v>8051</v>
      </c>
      <c r="G601" s="36" t="s">
        <v>14</v>
      </c>
      <c r="H601" s="36" t="str">
        <f>IFERROR(VLOOKUP(Table2[[#This Row], [Ticket]],Okey!A:B,2,0),"")</f>
        <v/>
      </c>
      <c r="K601" s="36" t="s">
        <v>8705</v>
      </c>
      <c r="M601" s="36" t="s">
        <v>8016</v>
      </c>
    </row>
    <row r="602" spans="1:13" hidden="1">
      <c r="A602" s="42">
        <f t="shared" si="10"/>
        <v>601</v>
      </c>
      <c r="B602" s="36" t="s">
        <v>6</v>
      </c>
      <c r="C602" s="36" t="s">
        <v>8718</v>
      </c>
      <c r="D602" s="9" t="s">
        <v>8874</v>
      </c>
      <c r="E602" s="9" t="s">
        <v>8721</v>
      </c>
      <c r="F602" s="9" t="s">
        <v>4301</v>
      </c>
      <c r="G602" s="36" t="s">
        <v>14</v>
      </c>
      <c r="H602" s="36" t="str">
        <f>IFERROR(VLOOKUP(Table2[[#This Row], [Ticket]],Okey!A:B,2,0),"")</f>
        <v/>
      </c>
      <c r="K602" s="36" t="s">
        <v>8705</v>
      </c>
      <c r="M602" s="36" t="s">
        <v>8016</v>
      </c>
    </row>
    <row r="603" spans="1:13" hidden="1">
      <c r="A603" s="42">
        <f t="shared" si="10"/>
        <v>602</v>
      </c>
      <c r="B603" s="36" t="s">
        <v>6</v>
      </c>
      <c r="C603" s="36" t="s">
        <v>8718</v>
      </c>
      <c r="D603" s="9" t="s">
        <v>8875</v>
      </c>
      <c r="E603" s="9" t="s">
        <v>8722</v>
      </c>
      <c r="F603" s="9" t="s">
        <v>8035</v>
      </c>
      <c r="G603" s="36" t="s">
        <v>14</v>
      </c>
      <c r="H603" s="36" t="str">
        <f>IFERROR(VLOOKUP(Table2[[#This Row], [Ticket]],Okey!A:B,2,0),"")</f>
        <v/>
      </c>
      <c r="K603" s="36" t="s">
        <v>8705</v>
      </c>
      <c r="M603" s="36" t="s">
        <v>8016</v>
      </c>
    </row>
    <row r="604" spans="1:13" hidden="1">
      <c r="A604" s="42">
        <f t="shared" si="10"/>
        <v>603</v>
      </c>
      <c r="B604" s="36" t="s">
        <v>6</v>
      </c>
      <c r="C604" s="36" t="s">
        <v>8718</v>
      </c>
      <c r="D604" s="9" t="s">
        <v>8876</v>
      </c>
      <c r="E604" s="9" t="s">
        <v>8723</v>
      </c>
      <c r="F604" s="9" t="s">
        <v>2653</v>
      </c>
      <c r="G604" s="36" t="s">
        <v>14</v>
      </c>
      <c r="H604" s="36" t="str">
        <f>IFERROR(VLOOKUP(Table2[[#This Row], [Ticket]],Okey!A:B,2,0),"")</f>
        <v/>
      </c>
      <c r="K604" s="36" t="s">
        <v>8705</v>
      </c>
      <c r="M604" s="36" t="s">
        <v>8016</v>
      </c>
    </row>
    <row r="605" spans="1:13" hidden="1">
      <c r="A605" s="42">
        <f t="shared" si="10"/>
        <v>604</v>
      </c>
      <c r="B605" s="36" t="s">
        <v>6</v>
      </c>
      <c r="C605" s="36" t="s">
        <v>8718</v>
      </c>
      <c r="D605" s="9" t="s">
        <v>8877</v>
      </c>
      <c r="E605" s="9" t="s">
        <v>8724</v>
      </c>
      <c r="F605" s="9" t="s">
        <v>2653</v>
      </c>
      <c r="G605" s="36" t="s">
        <v>14</v>
      </c>
      <c r="H605" s="36" t="str">
        <f>IFERROR(VLOOKUP(Table2[[#This Row], [Ticket]],Okey!A:B,2,0),"")</f>
        <v/>
      </c>
      <c r="K605" s="36" t="s">
        <v>8705</v>
      </c>
      <c r="M605" s="36" t="s">
        <v>8016</v>
      </c>
    </row>
    <row r="606" spans="1:13" hidden="1">
      <c r="A606" s="42">
        <f t="shared" si="10"/>
        <v>605</v>
      </c>
      <c r="B606" s="36" t="s">
        <v>6</v>
      </c>
      <c r="C606" s="36" t="s">
        <v>8718</v>
      </c>
      <c r="D606" s="9" t="s">
        <v>8878</v>
      </c>
      <c r="E606" s="9" t="s">
        <v>8725</v>
      </c>
      <c r="F606" s="9" t="s">
        <v>2653</v>
      </c>
      <c r="G606" s="36" t="s">
        <v>14</v>
      </c>
      <c r="H606" s="36" t="str">
        <f>IFERROR(VLOOKUP(Table2[[#This Row], [Ticket]],Okey!A:B,2,0),"")</f>
        <v/>
      </c>
      <c r="K606" s="36" t="s">
        <v>8705</v>
      </c>
      <c r="M606" s="36" t="s">
        <v>8016</v>
      </c>
    </row>
    <row r="607" spans="1:13" hidden="1">
      <c r="A607" s="42">
        <f t="shared" si="10"/>
        <v>606</v>
      </c>
      <c r="B607" s="36" t="s">
        <v>6</v>
      </c>
      <c r="C607" s="36" t="s">
        <v>8718</v>
      </c>
      <c r="D607" s="9" t="s">
        <v>8879</v>
      </c>
      <c r="E607" s="9" t="s">
        <v>8726</v>
      </c>
      <c r="F607" s="9" t="s">
        <v>2653</v>
      </c>
      <c r="G607" s="36" t="s">
        <v>14</v>
      </c>
      <c r="H607" s="36" t="str">
        <f>IFERROR(VLOOKUP(Table2[[#This Row], [Ticket]],Okey!A:B,2,0),"")</f>
        <v/>
      </c>
      <c r="K607" s="36" t="s">
        <v>8705</v>
      </c>
      <c r="M607" s="36" t="s">
        <v>8016</v>
      </c>
    </row>
    <row r="608" spans="1:13" hidden="1">
      <c r="A608" s="42">
        <f t="shared" si="10"/>
        <v>607</v>
      </c>
      <c r="B608" s="36" t="s">
        <v>6</v>
      </c>
      <c r="C608" s="36" t="s">
        <v>8718</v>
      </c>
      <c r="D608" s="9" t="s">
        <v>8880</v>
      </c>
      <c r="E608" s="9" t="s">
        <v>8727</v>
      </c>
      <c r="F608" s="9" t="s">
        <v>2653</v>
      </c>
      <c r="G608" s="36" t="s">
        <v>14</v>
      </c>
      <c r="H608" s="36" t="str">
        <f>IFERROR(VLOOKUP(Table2[[#This Row], [Ticket]],Okey!A:B,2,0),"")</f>
        <v/>
      </c>
      <c r="K608" s="36" t="s">
        <v>8705</v>
      </c>
      <c r="M608" s="36" t="s">
        <v>8016</v>
      </c>
    </row>
    <row r="609" spans="1:13" hidden="1">
      <c r="A609" s="42">
        <f t="shared" si="10"/>
        <v>608</v>
      </c>
      <c r="B609" s="36" t="s">
        <v>6</v>
      </c>
      <c r="C609" s="36" t="s">
        <v>8718</v>
      </c>
      <c r="D609" s="9" t="s">
        <v>8881</v>
      </c>
      <c r="E609" s="9" t="s">
        <v>8728</v>
      </c>
      <c r="F609" s="9" t="s">
        <v>8784</v>
      </c>
      <c r="G609" s="36" t="s">
        <v>14</v>
      </c>
      <c r="H609" s="36" t="str">
        <f>IFERROR(VLOOKUP(Table2[[#This Row], [Ticket]],Okey!A:B,2,0),"")</f>
        <v/>
      </c>
      <c r="K609" s="36" t="s">
        <v>8705</v>
      </c>
      <c r="M609" s="36" t="s">
        <v>8016</v>
      </c>
    </row>
    <row r="610" spans="1:13" hidden="1">
      <c r="A610" s="42">
        <f t="shared" si="10"/>
        <v>609</v>
      </c>
      <c r="B610" s="36" t="s">
        <v>6</v>
      </c>
      <c r="C610" s="36" t="s">
        <v>8718</v>
      </c>
      <c r="D610" s="9" t="s">
        <v>8882</v>
      </c>
      <c r="E610" s="9" t="s">
        <v>8729</v>
      </c>
      <c r="F610" s="9" t="s">
        <v>2551</v>
      </c>
      <c r="G610" s="36" t="s">
        <v>14</v>
      </c>
      <c r="H610" s="36" t="str">
        <f>IFERROR(VLOOKUP(Table2[[#This Row], [Ticket]],Okey!A:B,2,0),"")</f>
        <v/>
      </c>
      <c r="K610" s="36" t="s">
        <v>8705</v>
      </c>
      <c r="M610" s="36" t="s">
        <v>8016</v>
      </c>
    </row>
    <row r="611" spans="1:13" hidden="1">
      <c r="A611" s="42">
        <f t="shared" si="10"/>
        <v>610</v>
      </c>
      <c r="B611" s="36" t="s">
        <v>6</v>
      </c>
      <c r="C611" s="36" t="s">
        <v>8718</v>
      </c>
      <c r="D611" s="9" t="s">
        <v>8883</v>
      </c>
      <c r="E611" s="9" t="s">
        <v>8730</v>
      </c>
      <c r="F611" s="9" t="s">
        <v>2234</v>
      </c>
      <c r="G611" s="36" t="s">
        <v>14</v>
      </c>
      <c r="H611" s="36" t="str">
        <f>IFERROR(VLOOKUP(Table2[[#This Row], [Ticket]],Okey!A:B,2,0),"")</f>
        <v/>
      </c>
      <c r="K611" s="36" t="s">
        <v>8705</v>
      </c>
      <c r="M611" s="36" t="s">
        <v>8016</v>
      </c>
    </row>
    <row r="612" spans="1:13" hidden="1">
      <c r="A612" s="42">
        <f t="shared" si="10"/>
        <v>611</v>
      </c>
      <c r="B612" s="36" t="s">
        <v>6</v>
      </c>
      <c r="C612" s="36" t="s">
        <v>8718</v>
      </c>
      <c r="D612" s="9" t="s">
        <v>8884</v>
      </c>
      <c r="E612" s="9" t="s">
        <v>8731</v>
      </c>
      <c r="F612" s="9" t="s">
        <v>2203</v>
      </c>
      <c r="G612" s="36" t="s">
        <v>14</v>
      </c>
      <c r="H612" s="36" t="str">
        <f>IFERROR(VLOOKUP(Table2[[#This Row], [Ticket]],Okey!A:B,2,0),"")</f>
        <v/>
      </c>
      <c r="K612" s="36" t="s">
        <v>8705</v>
      </c>
      <c r="M612" s="36" t="s">
        <v>8016</v>
      </c>
    </row>
    <row r="613" spans="1:13" hidden="1">
      <c r="A613" s="42">
        <f t="shared" si="10"/>
        <v>612</v>
      </c>
      <c r="B613" s="36" t="s">
        <v>6</v>
      </c>
      <c r="C613" s="36" t="s">
        <v>8718</v>
      </c>
      <c r="D613" s="9" t="s">
        <v>8885</v>
      </c>
      <c r="E613" s="9" t="s">
        <v>8732</v>
      </c>
      <c r="F613" s="9" t="s">
        <v>5238</v>
      </c>
      <c r="G613" s="36" t="s">
        <v>14</v>
      </c>
      <c r="H613" s="36" t="str">
        <f>IFERROR(VLOOKUP(Table2[[#This Row], [Ticket]],Okey!A:B,2,0),"")</f>
        <v/>
      </c>
      <c r="K613" s="36" t="s">
        <v>8705</v>
      </c>
      <c r="M613" s="36" t="s">
        <v>8016</v>
      </c>
    </row>
    <row r="614" spans="1:13" hidden="1">
      <c r="A614" s="42">
        <f t="shared" si="10"/>
        <v>613</v>
      </c>
      <c r="B614" s="36" t="s">
        <v>6</v>
      </c>
      <c r="C614" s="36" t="s">
        <v>8718</v>
      </c>
      <c r="D614" s="9" t="s">
        <v>8886</v>
      </c>
      <c r="E614" s="9" t="s">
        <v>8733</v>
      </c>
      <c r="F614" s="9" t="s">
        <v>5238</v>
      </c>
      <c r="G614" s="36" t="s">
        <v>14</v>
      </c>
      <c r="H614" s="36" t="str">
        <f>IFERROR(VLOOKUP(Table2[[#This Row], [Ticket]],Okey!A:B,2,0),"")</f>
        <v/>
      </c>
      <c r="K614" s="36" t="s">
        <v>8705</v>
      </c>
      <c r="M614" s="36" t="s">
        <v>8016</v>
      </c>
    </row>
    <row r="615" spans="1:13" hidden="1">
      <c r="A615" s="42">
        <f t="shared" si="10"/>
        <v>614</v>
      </c>
      <c r="B615" s="36" t="s">
        <v>6</v>
      </c>
      <c r="C615" s="36" t="s">
        <v>8718</v>
      </c>
      <c r="D615" s="9" t="s">
        <v>8887</v>
      </c>
      <c r="E615" s="9" t="s">
        <v>8734</v>
      </c>
      <c r="F615" s="9" t="s">
        <v>5238</v>
      </c>
      <c r="G615" s="36" t="s">
        <v>14</v>
      </c>
      <c r="H615" s="36" t="str">
        <f>IFERROR(VLOOKUP(Table2[[#This Row], [Ticket]],Okey!A:B,2,0),"")</f>
        <v/>
      </c>
      <c r="K615" s="36" t="s">
        <v>8705</v>
      </c>
      <c r="M615" s="36" t="s">
        <v>8016</v>
      </c>
    </row>
    <row r="616" spans="1:13" hidden="1">
      <c r="A616" s="42">
        <f t="shared" si="10"/>
        <v>615</v>
      </c>
      <c r="B616" s="36" t="s">
        <v>6</v>
      </c>
      <c r="C616" s="36" t="s">
        <v>8718</v>
      </c>
      <c r="D616" s="9" t="s">
        <v>8888</v>
      </c>
      <c r="E616" s="9" t="s">
        <v>8735</v>
      </c>
      <c r="F616" s="9" t="s">
        <v>5238</v>
      </c>
      <c r="G616" s="36" t="s">
        <v>14</v>
      </c>
      <c r="H616" s="36" t="str">
        <f>IFERROR(VLOOKUP(Table2[[#This Row], [Ticket]],Okey!A:B,2,0),"")</f>
        <v/>
      </c>
      <c r="K616" s="36" t="s">
        <v>8705</v>
      </c>
      <c r="M616" s="36" t="s">
        <v>8016</v>
      </c>
    </row>
    <row r="617" spans="1:13" hidden="1">
      <c r="A617" s="42">
        <f t="shared" si="10"/>
        <v>616</v>
      </c>
      <c r="B617" s="36" t="s">
        <v>6</v>
      </c>
      <c r="C617" s="36" t="s">
        <v>8718</v>
      </c>
      <c r="D617" s="9" t="s">
        <v>8889</v>
      </c>
      <c r="E617" s="9" t="s">
        <v>8736</v>
      </c>
      <c r="F617" s="9" t="s">
        <v>5238</v>
      </c>
      <c r="G617" s="36" t="s">
        <v>14</v>
      </c>
      <c r="H617" s="36" t="str">
        <f>IFERROR(VLOOKUP(Table2[[#This Row], [Ticket]],Okey!A:B,2,0),"")</f>
        <v/>
      </c>
      <c r="K617" s="36" t="s">
        <v>8705</v>
      </c>
      <c r="M617" s="36" t="s">
        <v>8016</v>
      </c>
    </row>
    <row r="618" spans="1:13" hidden="1">
      <c r="A618" s="42">
        <f t="shared" si="10"/>
        <v>617</v>
      </c>
      <c r="B618" s="36" t="s">
        <v>6</v>
      </c>
      <c r="C618" s="36" t="s">
        <v>8718</v>
      </c>
      <c r="D618" s="9" t="s">
        <v>8890</v>
      </c>
      <c r="E618" s="9" t="s">
        <v>8737</v>
      </c>
      <c r="F618" s="9" t="s">
        <v>5238</v>
      </c>
      <c r="G618" s="36" t="s">
        <v>14</v>
      </c>
      <c r="H618" s="36" t="str">
        <f>IFERROR(VLOOKUP(Table2[[#This Row], [Ticket]],Okey!A:B,2,0),"")</f>
        <v/>
      </c>
      <c r="K618" s="36" t="s">
        <v>8705</v>
      </c>
      <c r="M618" s="36" t="s">
        <v>8016</v>
      </c>
    </row>
    <row r="619" spans="1:13" hidden="1">
      <c r="A619" s="42">
        <f t="shared" si="10"/>
        <v>618</v>
      </c>
      <c r="B619" s="36" t="s">
        <v>6</v>
      </c>
      <c r="C619" s="36" t="s">
        <v>8718</v>
      </c>
      <c r="D619" s="9" t="s">
        <v>8891</v>
      </c>
      <c r="E619" s="9" t="s">
        <v>8738</v>
      </c>
      <c r="F619" s="9" t="s">
        <v>5238</v>
      </c>
      <c r="G619" s="36" t="s">
        <v>14</v>
      </c>
      <c r="H619" s="36" t="str">
        <f>IFERROR(VLOOKUP(Table2[[#This Row], [Ticket]],Okey!A:B,2,0),"")</f>
        <v/>
      </c>
      <c r="K619" s="36" t="s">
        <v>8705</v>
      </c>
      <c r="M619" s="36" t="s">
        <v>8016</v>
      </c>
    </row>
    <row r="620" spans="1:13" hidden="1">
      <c r="A620" s="42">
        <f t="shared" si="10"/>
        <v>619</v>
      </c>
      <c r="B620" s="36" t="s">
        <v>6</v>
      </c>
      <c r="C620" s="36" t="s">
        <v>8718</v>
      </c>
      <c r="D620" s="9" t="s">
        <v>8892</v>
      </c>
      <c r="E620" s="9" t="s">
        <v>8739</v>
      </c>
      <c r="F620" s="36" t="s">
        <v>8891</v>
      </c>
      <c r="G620" s="36" t="s">
        <v>14</v>
      </c>
      <c r="H620" s="36" t="str">
        <f>IFERROR(VLOOKUP(Table2[[#This Row], [Ticket]],Okey!A:B,2,0),"")</f>
        <v/>
      </c>
      <c r="K620" s="36" t="s">
        <v>8705</v>
      </c>
      <c r="M620" s="36" t="s">
        <v>8016</v>
      </c>
    </row>
    <row r="621" spans="1:13" hidden="1">
      <c r="A621" s="42">
        <f t="shared" si="10"/>
        <v>620</v>
      </c>
      <c r="B621" s="36" t="s">
        <v>6</v>
      </c>
      <c r="C621" s="36" t="s">
        <v>8718</v>
      </c>
      <c r="D621" s="9" t="s">
        <v>8893</v>
      </c>
      <c r="E621" s="9" t="s">
        <v>8740</v>
      </c>
      <c r="F621" s="36" t="s">
        <v>8891</v>
      </c>
      <c r="G621" s="36" t="s">
        <v>14</v>
      </c>
      <c r="H621" s="36" t="str">
        <f>IFERROR(VLOOKUP(Table2[[#This Row], [Ticket]],Okey!A:B,2,0),"")</f>
        <v/>
      </c>
      <c r="K621" s="36" t="s">
        <v>8705</v>
      </c>
      <c r="M621" s="36" t="s">
        <v>8016</v>
      </c>
    </row>
    <row r="622" spans="1:13" hidden="1">
      <c r="A622" s="42">
        <f t="shared" si="10"/>
        <v>621</v>
      </c>
      <c r="B622" s="36" t="s">
        <v>6</v>
      </c>
      <c r="C622" s="36" t="s">
        <v>8718</v>
      </c>
      <c r="D622" s="9" t="s">
        <v>8894</v>
      </c>
      <c r="E622" s="9" t="s">
        <v>8741</v>
      </c>
      <c r="F622" s="36" t="s">
        <v>8891</v>
      </c>
      <c r="G622" s="36" t="s">
        <v>14</v>
      </c>
      <c r="H622" s="36" t="str">
        <f>IFERROR(VLOOKUP(Table2[[#This Row], [Ticket]],Okey!A:B,2,0),"")</f>
        <v/>
      </c>
      <c r="K622" s="36" t="s">
        <v>8705</v>
      </c>
      <c r="M622" s="36" t="s">
        <v>8016</v>
      </c>
    </row>
    <row r="623" spans="1:13" hidden="1">
      <c r="A623" s="42">
        <f t="shared" si="10"/>
        <v>622</v>
      </c>
      <c r="B623" s="36" t="s">
        <v>6</v>
      </c>
      <c r="C623" s="36" t="s">
        <v>8718</v>
      </c>
      <c r="D623" s="9" t="s">
        <v>8895</v>
      </c>
      <c r="E623" s="9" t="s">
        <v>8742</v>
      </c>
      <c r="F623" s="36" t="s">
        <v>8891</v>
      </c>
      <c r="G623" s="36" t="s">
        <v>14</v>
      </c>
      <c r="H623" s="36" t="str">
        <f>IFERROR(VLOOKUP(Table2[[#This Row], [Ticket]],Okey!A:B,2,0),"")</f>
        <v/>
      </c>
      <c r="K623" s="36" t="s">
        <v>8705</v>
      </c>
      <c r="M623" s="36" t="s">
        <v>8016</v>
      </c>
    </row>
    <row r="624" spans="1:13" hidden="1">
      <c r="A624" s="42">
        <f t="shared" si="10"/>
        <v>623</v>
      </c>
      <c r="B624" s="36" t="s">
        <v>6</v>
      </c>
      <c r="C624" s="36" t="s">
        <v>8718</v>
      </c>
      <c r="D624" s="9" t="s">
        <v>8896</v>
      </c>
      <c r="E624" s="9" t="s">
        <v>8743</v>
      </c>
      <c r="F624" s="9" t="s">
        <v>2199</v>
      </c>
      <c r="G624" s="36" t="s">
        <v>14</v>
      </c>
      <c r="H624" s="36" t="str">
        <f>IFERROR(VLOOKUP(Table2[[#This Row], [Ticket]],Okey!A:B,2,0),"")</f>
        <v/>
      </c>
      <c r="K624" s="36" t="s">
        <v>8705</v>
      </c>
      <c r="M624" s="36" t="s">
        <v>8016</v>
      </c>
    </row>
    <row r="625" spans="1:13" hidden="1">
      <c r="A625" s="42">
        <f t="shared" si="10"/>
        <v>624</v>
      </c>
      <c r="B625" s="36" t="s">
        <v>6</v>
      </c>
      <c r="C625" s="36" t="s">
        <v>8718</v>
      </c>
      <c r="D625" s="9" t="s">
        <v>8897</v>
      </c>
      <c r="E625" s="9" t="s">
        <v>8744</v>
      </c>
      <c r="F625" s="9" t="s">
        <v>2544</v>
      </c>
      <c r="G625" s="36" t="s">
        <v>14</v>
      </c>
      <c r="H625" s="36" t="str">
        <f>IFERROR(VLOOKUP(Table2[[#This Row], [Ticket]],Okey!A:B,2,0),"")</f>
        <v/>
      </c>
      <c r="K625" s="36" t="s">
        <v>8705</v>
      </c>
      <c r="M625" s="36" t="s">
        <v>8016</v>
      </c>
    </row>
    <row r="626" spans="1:13" hidden="1">
      <c r="A626" s="42">
        <f t="shared" si="10"/>
        <v>625</v>
      </c>
      <c r="B626" s="36" t="s">
        <v>6</v>
      </c>
      <c r="C626" s="36" t="s">
        <v>8718</v>
      </c>
      <c r="D626" s="9" t="s">
        <v>8898</v>
      </c>
      <c r="E626" s="9" t="s">
        <v>8745</v>
      </c>
      <c r="F626" s="9" t="s">
        <v>8785</v>
      </c>
      <c r="G626" s="36" t="s">
        <v>14</v>
      </c>
      <c r="H626" s="36" t="str">
        <f>IFERROR(VLOOKUP(Table2[[#This Row], [Ticket]],Okey!A:B,2,0),"")</f>
        <v/>
      </c>
      <c r="K626" s="36" t="s">
        <v>8705</v>
      </c>
      <c r="M626" s="36" t="s">
        <v>8016</v>
      </c>
    </row>
    <row r="627" spans="1:13" hidden="1">
      <c r="A627" s="42">
        <f t="shared" si="10"/>
        <v>626</v>
      </c>
      <c r="B627" s="36" t="s">
        <v>6</v>
      </c>
      <c r="C627" s="36" t="s">
        <v>8718</v>
      </c>
      <c r="D627" s="9" t="s">
        <v>8899</v>
      </c>
      <c r="E627" s="9" t="s">
        <v>8746</v>
      </c>
      <c r="F627" s="9" t="s">
        <v>8785</v>
      </c>
      <c r="G627" s="36" t="s">
        <v>14</v>
      </c>
      <c r="H627" s="36" t="str">
        <f>IFERROR(VLOOKUP(Table2[[#This Row], [Ticket]],Okey!A:B,2,0),"")</f>
        <v/>
      </c>
      <c r="K627" s="36" t="s">
        <v>8705</v>
      </c>
      <c r="M627" s="36" t="s">
        <v>8016</v>
      </c>
    </row>
    <row r="628" spans="1:13" hidden="1">
      <c r="A628" s="42">
        <f t="shared" si="10"/>
        <v>627</v>
      </c>
      <c r="B628" s="36" t="s">
        <v>6</v>
      </c>
      <c r="C628" s="36" t="s">
        <v>8718</v>
      </c>
      <c r="D628" s="9" t="s">
        <v>8900</v>
      </c>
      <c r="E628" s="9" t="s">
        <v>8747</v>
      </c>
      <c r="F628" s="9" t="s">
        <v>2149</v>
      </c>
      <c r="G628" s="36" t="s">
        <v>14</v>
      </c>
      <c r="H628" s="36" t="str">
        <f>IFERROR(VLOOKUP(Table2[[#This Row], [Ticket]],Okey!A:B,2,0),"")</f>
        <v/>
      </c>
      <c r="K628" s="36" t="s">
        <v>8705</v>
      </c>
      <c r="M628" s="36" t="s">
        <v>8016</v>
      </c>
    </row>
    <row r="629" spans="1:13" hidden="1">
      <c r="A629" s="42">
        <f t="shared" si="10"/>
        <v>628</v>
      </c>
      <c r="B629" s="36" t="s">
        <v>6</v>
      </c>
      <c r="C629" s="36" t="s">
        <v>8718</v>
      </c>
      <c r="D629" s="9" t="s">
        <v>8901</v>
      </c>
      <c r="E629" s="9" t="s">
        <v>8748</v>
      </c>
      <c r="F629" s="9" t="s">
        <v>2151</v>
      </c>
      <c r="G629" s="36" t="s">
        <v>14</v>
      </c>
      <c r="H629" s="36" t="str">
        <f>IFERROR(VLOOKUP(Table2[[#This Row], [Ticket]],Okey!A:B,2,0),"")</f>
        <v/>
      </c>
      <c r="K629" s="36" t="s">
        <v>8705</v>
      </c>
      <c r="M629" s="36" t="s">
        <v>8016</v>
      </c>
    </row>
    <row r="630" spans="1:13" hidden="1">
      <c r="A630" s="42">
        <f t="shared" si="10"/>
        <v>629</v>
      </c>
      <c r="B630" s="36" t="s">
        <v>6</v>
      </c>
      <c r="C630" s="36" t="s">
        <v>8718</v>
      </c>
      <c r="D630" s="9" t="s">
        <v>8902</v>
      </c>
      <c r="E630" s="9" t="s">
        <v>8749</v>
      </c>
      <c r="F630" s="9" t="s">
        <v>2537</v>
      </c>
      <c r="G630" s="36" t="s">
        <v>14</v>
      </c>
      <c r="H630" s="36" t="str">
        <f>IFERROR(VLOOKUP(Table2[[#This Row], [Ticket]],Okey!A:B,2,0),"")</f>
        <v/>
      </c>
      <c r="K630" s="36" t="s">
        <v>8705</v>
      </c>
      <c r="M630" s="36" t="s">
        <v>8016</v>
      </c>
    </row>
    <row r="631" spans="1:13" hidden="1">
      <c r="A631" s="42">
        <f t="shared" si="10"/>
        <v>630</v>
      </c>
      <c r="B631" s="36" t="s">
        <v>6</v>
      </c>
      <c r="C631" s="36" t="s">
        <v>8718</v>
      </c>
      <c r="D631" s="9" t="s">
        <v>8903</v>
      </c>
      <c r="E631" s="9" t="s">
        <v>8750</v>
      </c>
      <c r="F631" s="9" t="s">
        <v>8785</v>
      </c>
      <c r="G631" s="36" t="s">
        <v>14</v>
      </c>
      <c r="H631" s="36" t="str">
        <f>IFERROR(VLOOKUP(Table2[[#This Row], [Ticket]],Okey!A:B,2,0),"")</f>
        <v/>
      </c>
      <c r="K631" s="36" t="s">
        <v>8705</v>
      </c>
      <c r="M631" s="36" t="s">
        <v>8016</v>
      </c>
    </row>
    <row r="632" spans="1:13" hidden="1">
      <c r="A632" s="42">
        <f t="shared" si="10"/>
        <v>631</v>
      </c>
      <c r="B632" s="36" t="s">
        <v>6</v>
      </c>
      <c r="C632" s="36" t="s">
        <v>8718</v>
      </c>
      <c r="D632" s="9" t="s">
        <v>8904</v>
      </c>
      <c r="E632" s="9" t="s">
        <v>8751</v>
      </c>
      <c r="F632" s="36" t="s">
        <v>8903</v>
      </c>
      <c r="G632" s="36" t="s">
        <v>14</v>
      </c>
      <c r="H632" s="36" t="str">
        <f>IFERROR(VLOOKUP(Table2[[#This Row], [Ticket]],Okey!A:B,2,0),"")</f>
        <v/>
      </c>
      <c r="K632" s="36" t="s">
        <v>8705</v>
      </c>
      <c r="M632" s="36" t="s">
        <v>8016</v>
      </c>
    </row>
    <row r="633" spans="1:13" hidden="1">
      <c r="A633" s="42">
        <f t="shared" si="10"/>
        <v>632</v>
      </c>
      <c r="B633" s="36" t="s">
        <v>6</v>
      </c>
      <c r="C633" s="36" t="s">
        <v>8718</v>
      </c>
      <c r="D633" s="9" t="s">
        <v>8905</v>
      </c>
      <c r="E633" s="9" t="s">
        <v>8752</v>
      </c>
      <c r="F633" s="9" t="s">
        <v>8785</v>
      </c>
      <c r="G633" s="36" t="s">
        <v>14</v>
      </c>
      <c r="H633" s="36" t="str">
        <f>IFERROR(VLOOKUP(Table2[[#This Row], [Ticket]],Okey!A:B,2,0),"")</f>
        <v/>
      </c>
      <c r="K633" s="36" t="s">
        <v>8705</v>
      </c>
      <c r="M633" s="36" t="s">
        <v>8016</v>
      </c>
    </row>
    <row r="634" spans="1:13" hidden="1">
      <c r="A634" s="42">
        <f t="shared" si="10"/>
        <v>633</v>
      </c>
      <c r="B634" s="36" t="s">
        <v>6</v>
      </c>
      <c r="C634" s="36" t="s">
        <v>8718</v>
      </c>
      <c r="D634" s="9" t="s">
        <v>8906</v>
      </c>
      <c r="E634" s="9" t="s">
        <v>8753</v>
      </c>
      <c r="F634" s="9" t="s">
        <v>8786</v>
      </c>
      <c r="G634" s="36" t="s">
        <v>14</v>
      </c>
      <c r="H634" s="36" t="str">
        <f>IFERROR(VLOOKUP(Table2[[#This Row], [Ticket]],Okey!A:B,2,0),"")</f>
        <v/>
      </c>
      <c r="K634" s="36" t="s">
        <v>8705</v>
      </c>
      <c r="M634" s="36" t="s">
        <v>8016</v>
      </c>
    </row>
    <row r="635" spans="1:13" hidden="1">
      <c r="A635" s="42">
        <f t="shared" si="10"/>
        <v>634</v>
      </c>
      <c r="B635" s="36" t="s">
        <v>6</v>
      </c>
      <c r="C635" s="36" t="s">
        <v>8718</v>
      </c>
      <c r="D635" s="9" t="s">
        <v>8907</v>
      </c>
      <c r="E635" s="9" t="s">
        <v>8754</v>
      </c>
      <c r="F635" s="9" t="s">
        <v>2418</v>
      </c>
      <c r="G635" s="36" t="s">
        <v>14</v>
      </c>
      <c r="H635" s="36" t="str">
        <f>IFERROR(VLOOKUP(Table2[[#This Row], [Ticket]],Okey!A:B,2,0),"")</f>
        <v/>
      </c>
      <c r="K635" s="36" t="s">
        <v>8705</v>
      </c>
      <c r="M635" s="36" t="s">
        <v>8016</v>
      </c>
    </row>
    <row r="636" spans="1:13" hidden="1">
      <c r="A636" s="42">
        <f t="shared" si="10"/>
        <v>635</v>
      </c>
      <c r="B636" s="36" t="s">
        <v>6</v>
      </c>
      <c r="C636" s="36" t="s">
        <v>8718</v>
      </c>
      <c r="D636" s="9" t="s">
        <v>8908</v>
      </c>
      <c r="E636" s="9" t="s">
        <v>8755</v>
      </c>
      <c r="F636" s="9" t="s">
        <v>8786</v>
      </c>
      <c r="G636" s="36" t="s">
        <v>14</v>
      </c>
      <c r="H636" s="36" t="str">
        <f>IFERROR(VLOOKUP(Table2[[#This Row], [Ticket]],Okey!A:B,2,0),"")</f>
        <v/>
      </c>
      <c r="K636" s="36" t="s">
        <v>8705</v>
      </c>
      <c r="M636" s="36" t="s">
        <v>8016</v>
      </c>
    </row>
    <row r="637" spans="1:13" hidden="1">
      <c r="A637" s="42">
        <f t="shared" si="10"/>
        <v>636</v>
      </c>
      <c r="B637" s="36" t="s">
        <v>6</v>
      </c>
      <c r="C637" s="36" t="s">
        <v>8718</v>
      </c>
      <c r="D637" s="9" t="s">
        <v>8909</v>
      </c>
      <c r="E637" s="9" t="s">
        <v>8756</v>
      </c>
      <c r="F637" s="9" t="s">
        <v>2558</v>
      </c>
      <c r="G637" s="36" t="s">
        <v>14</v>
      </c>
      <c r="H637" s="36" t="str">
        <f>IFERROR(VLOOKUP(Table2[[#This Row], [Ticket]],Okey!A:B,2,0),"")</f>
        <v/>
      </c>
      <c r="K637" s="36" t="s">
        <v>8705</v>
      </c>
      <c r="M637" s="36" t="s">
        <v>8016</v>
      </c>
    </row>
    <row r="638" spans="1:13" hidden="1">
      <c r="A638" s="42">
        <f t="shared" si="10"/>
        <v>637</v>
      </c>
      <c r="B638" s="36" t="s">
        <v>6</v>
      </c>
      <c r="C638" s="36" t="s">
        <v>8718</v>
      </c>
      <c r="D638" s="9" t="s">
        <v>8910</v>
      </c>
      <c r="E638" s="9" t="s">
        <v>8757</v>
      </c>
      <c r="F638" s="9" t="s">
        <v>5836</v>
      </c>
      <c r="G638" s="36" t="s">
        <v>14</v>
      </c>
      <c r="H638" s="36" t="str">
        <f>IFERROR(VLOOKUP(Table2[[#This Row], [Ticket]],Okey!A:B,2,0),"")</f>
        <v/>
      </c>
      <c r="K638" s="36" t="s">
        <v>8705</v>
      </c>
      <c r="M638" s="36" t="s">
        <v>8016</v>
      </c>
    </row>
    <row r="639" spans="1:13" hidden="1">
      <c r="A639" s="42">
        <f t="shared" si="10"/>
        <v>638</v>
      </c>
      <c r="B639" s="36" t="s">
        <v>6</v>
      </c>
      <c r="C639" s="36" t="s">
        <v>8718</v>
      </c>
      <c r="D639" s="9" t="s">
        <v>8911</v>
      </c>
      <c r="E639" s="9" t="s">
        <v>8758</v>
      </c>
      <c r="F639" s="9" t="s">
        <v>5799</v>
      </c>
      <c r="G639" s="36" t="s">
        <v>14</v>
      </c>
      <c r="H639" s="36" t="str">
        <f>IFERROR(VLOOKUP(Table2[[#This Row], [Ticket]],Okey!A:B,2,0),"")</f>
        <v/>
      </c>
      <c r="K639" s="36" t="s">
        <v>8705</v>
      </c>
      <c r="M639" s="36" t="s">
        <v>8016</v>
      </c>
    </row>
    <row r="640" spans="1:13" hidden="1">
      <c r="A640" s="42">
        <f t="shared" si="10"/>
        <v>639</v>
      </c>
      <c r="B640" s="36" t="s">
        <v>6</v>
      </c>
      <c r="C640" s="36" t="s">
        <v>8718</v>
      </c>
      <c r="D640" s="9" t="s">
        <v>8912</v>
      </c>
      <c r="E640" s="9" t="s">
        <v>8759</v>
      </c>
      <c r="F640" s="9" t="s">
        <v>5854</v>
      </c>
      <c r="G640" s="36" t="s">
        <v>14</v>
      </c>
      <c r="H640" s="36" t="str">
        <f>IFERROR(VLOOKUP(Table2[[#This Row], [Ticket]],Okey!A:B,2,0),"")</f>
        <v/>
      </c>
      <c r="K640" s="36" t="s">
        <v>8705</v>
      </c>
      <c r="M640" s="36" t="s">
        <v>8016</v>
      </c>
    </row>
    <row r="641" spans="1:13" hidden="1">
      <c r="A641" s="42">
        <f t="shared" si="10"/>
        <v>640</v>
      </c>
      <c r="B641" s="36" t="s">
        <v>6</v>
      </c>
      <c r="C641" s="36" t="s">
        <v>8718</v>
      </c>
      <c r="D641" s="9" t="s">
        <v>8913</v>
      </c>
      <c r="E641" s="9" t="s">
        <v>8760</v>
      </c>
      <c r="F641" s="9" t="s">
        <v>4288</v>
      </c>
      <c r="G641" s="36" t="s">
        <v>14</v>
      </c>
      <c r="H641" s="36" t="str">
        <f>IFERROR(VLOOKUP(Table2[[#This Row], [Ticket]],Okey!A:B,2,0),"")</f>
        <v/>
      </c>
      <c r="K641" s="36" t="s">
        <v>8705</v>
      </c>
      <c r="M641" s="36" t="s">
        <v>8016</v>
      </c>
    </row>
    <row r="642" spans="1:13" hidden="1">
      <c r="A642" s="42">
        <f t="shared" si="10"/>
        <v>641</v>
      </c>
      <c r="B642" s="36" t="s">
        <v>6</v>
      </c>
      <c r="C642" s="36" t="s">
        <v>8718</v>
      </c>
      <c r="D642" s="9" t="s">
        <v>8914</v>
      </c>
      <c r="E642" s="9" t="s">
        <v>8761</v>
      </c>
      <c r="F642" s="9" t="s">
        <v>4208</v>
      </c>
      <c r="G642" s="36" t="s">
        <v>14</v>
      </c>
      <c r="H642" s="36" t="str">
        <f>IFERROR(VLOOKUP(Table2[[#This Row], [Ticket]],Okey!A:B,2,0),"")</f>
        <v/>
      </c>
      <c r="K642" s="36" t="s">
        <v>8705</v>
      </c>
      <c r="M642" s="36" t="s">
        <v>8016</v>
      </c>
    </row>
    <row r="643" spans="1:13" hidden="1">
      <c r="A643" s="42">
        <f t="shared" si="10"/>
        <v>642</v>
      </c>
      <c r="B643" s="36" t="s">
        <v>6</v>
      </c>
      <c r="C643" s="36" t="s">
        <v>8718</v>
      </c>
      <c r="D643" s="9" t="s">
        <v>8915</v>
      </c>
      <c r="E643" s="9" t="s">
        <v>8762</v>
      </c>
      <c r="F643" s="9" t="s">
        <v>5324</v>
      </c>
      <c r="G643" s="36" t="s">
        <v>14</v>
      </c>
      <c r="H643" s="36" t="str">
        <f>IFERROR(VLOOKUP(Table2[[#This Row], [Ticket]],Okey!A:B,2,0),"")</f>
        <v/>
      </c>
      <c r="K643" s="36" t="s">
        <v>8705</v>
      </c>
      <c r="M643" s="36" t="s">
        <v>8016</v>
      </c>
    </row>
    <row r="644" spans="1:13" hidden="1">
      <c r="A644" s="42">
        <f t="shared" si="10"/>
        <v>643</v>
      </c>
      <c r="B644" s="36" t="s">
        <v>6</v>
      </c>
      <c r="C644" s="36" t="s">
        <v>8718</v>
      </c>
      <c r="D644" s="9" t="s">
        <v>8916</v>
      </c>
      <c r="E644" s="9" t="s">
        <v>8763</v>
      </c>
      <c r="F644" s="9" t="s">
        <v>5395</v>
      </c>
      <c r="G644" s="36" t="s">
        <v>14</v>
      </c>
      <c r="H644" s="36" t="str">
        <f>IFERROR(VLOOKUP(Table2[[#This Row], [Ticket]],Okey!A:B,2,0),"")</f>
        <v/>
      </c>
      <c r="K644" s="36" t="s">
        <v>8705</v>
      </c>
      <c r="M644" s="36" t="s">
        <v>8016</v>
      </c>
    </row>
    <row r="645" spans="1:13" hidden="1">
      <c r="A645" s="42">
        <f t="shared" si="10"/>
        <v>644</v>
      </c>
      <c r="B645" s="36" t="s">
        <v>6</v>
      </c>
      <c r="C645" s="36" t="s">
        <v>8718</v>
      </c>
      <c r="D645" s="9" t="s">
        <v>8917</v>
      </c>
      <c r="E645" s="9" t="s">
        <v>8764</v>
      </c>
      <c r="F645" s="9" t="s">
        <v>4638</v>
      </c>
      <c r="G645" s="36" t="s">
        <v>14</v>
      </c>
      <c r="H645" s="36" t="str">
        <f>IFERROR(VLOOKUP(Table2[[#This Row], [Ticket]],Okey!A:B,2,0),"")</f>
        <v/>
      </c>
      <c r="K645" s="36" t="s">
        <v>8705</v>
      </c>
      <c r="M645" s="36" t="s">
        <v>8016</v>
      </c>
    </row>
    <row r="646" spans="1:13" hidden="1">
      <c r="A646" s="42">
        <f t="shared" si="10"/>
        <v>645</v>
      </c>
      <c r="B646" s="36" t="s">
        <v>6</v>
      </c>
      <c r="C646" s="36" t="s">
        <v>8718</v>
      </c>
      <c r="D646" s="9" t="s">
        <v>8918</v>
      </c>
      <c r="E646" s="9" t="s">
        <v>8765</v>
      </c>
      <c r="F646" s="9" t="s">
        <v>4640</v>
      </c>
      <c r="G646" s="36" t="s">
        <v>14</v>
      </c>
      <c r="H646" s="36" t="str">
        <f>IFERROR(VLOOKUP(Table2[[#This Row], [Ticket]],Okey!A:B,2,0),"")</f>
        <v/>
      </c>
      <c r="K646" s="36" t="s">
        <v>8705</v>
      </c>
      <c r="M646" s="36" t="s">
        <v>8016</v>
      </c>
    </row>
    <row r="647" spans="1:13" hidden="1">
      <c r="A647" s="42">
        <f t="shared" si="10"/>
        <v>646</v>
      </c>
      <c r="B647" s="36" t="s">
        <v>6</v>
      </c>
      <c r="C647" s="36" t="s">
        <v>8718</v>
      </c>
      <c r="D647" s="9" t="s">
        <v>8919</v>
      </c>
      <c r="E647" s="9" t="s">
        <v>8766</v>
      </c>
      <c r="F647" s="9" t="s">
        <v>4642</v>
      </c>
      <c r="G647" s="36" t="s">
        <v>14</v>
      </c>
      <c r="H647" s="36" t="str">
        <f>IFERROR(VLOOKUP(Table2[[#This Row], [Ticket]],Okey!A:B,2,0),"")</f>
        <v/>
      </c>
      <c r="K647" s="36" t="s">
        <v>8705</v>
      </c>
      <c r="M647" s="36" t="s">
        <v>8016</v>
      </c>
    </row>
    <row r="648" spans="1:13" hidden="1">
      <c r="A648" s="42">
        <f t="shared" si="10"/>
        <v>647</v>
      </c>
      <c r="B648" s="36" t="s">
        <v>6</v>
      </c>
      <c r="C648" s="36" t="s">
        <v>8718</v>
      </c>
      <c r="D648" s="9" t="s">
        <v>8920</v>
      </c>
      <c r="E648" s="9" t="s">
        <v>8767</v>
      </c>
      <c r="F648" s="9" t="s">
        <v>4644</v>
      </c>
      <c r="G648" s="36" t="s">
        <v>14</v>
      </c>
      <c r="H648" s="36" t="str">
        <f>IFERROR(VLOOKUP(Table2[[#This Row], [Ticket]],Okey!A:B,2,0),"")</f>
        <v/>
      </c>
      <c r="K648" s="36" t="s">
        <v>8705</v>
      </c>
      <c r="M648" s="36" t="s">
        <v>8016</v>
      </c>
    </row>
    <row r="649" spans="1:13" hidden="1">
      <c r="A649" s="42">
        <f t="shared" si="10"/>
        <v>648</v>
      </c>
      <c r="B649" s="36" t="s">
        <v>6</v>
      </c>
      <c r="C649" s="36" t="s">
        <v>8718</v>
      </c>
      <c r="D649" s="9" t="s">
        <v>8921</v>
      </c>
      <c r="E649" s="9" t="s">
        <v>8768</v>
      </c>
      <c r="F649" s="9" t="s">
        <v>4646</v>
      </c>
      <c r="G649" s="36" t="s">
        <v>14</v>
      </c>
      <c r="H649" s="36" t="str">
        <f>IFERROR(VLOOKUP(Table2[[#This Row], [Ticket]],Okey!A:B,2,0),"")</f>
        <v/>
      </c>
      <c r="K649" s="36" t="s">
        <v>8705</v>
      </c>
      <c r="M649" s="36" t="s">
        <v>8016</v>
      </c>
    </row>
    <row r="650" spans="1:13" hidden="1">
      <c r="A650" s="42">
        <f t="shared" si="10"/>
        <v>649</v>
      </c>
      <c r="B650" s="36" t="s">
        <v>6</v>
      </c>
      <c r="C650" s="36" t="s">
        <v>8718</v>
      </c>
      <c r="D650" s="9" t="s">
        <v>8922</v>
      </c>
      <c r="E650" s="9" t="s">
        <v>8769</v>
      </c>
      <c r="F650" s="9" t="s">
        <v>4650</v>
      </c>
      <c r="G650" s="36" t="s">
        <v>14</v>
      </c>
      <c r="H650" s="36" t="str">
        <f>IFERROR(VLOOKUP(Table2[[#This Row], [Ticket]],Okey!A:B,2,0),"")</f>
        <v/>
      </c>
      <c r="K650" s="36" t="s">
        <v>8705</v>
      </c>
      <c r="M650" s="36" t="s">
        <v>8016</v>
      </c>
    </row>
    <row r="651" spans="1:13" hidden="1">
      <c r="A651" s="42">
        <f t="shared" si="10"/>
        <v>650</v>
      </c>
      <c r="B651" s="36" t="s">
        <v>6</v>
      </c>
      <c r="C651" s="36" t="s">
        <v>8718</v>
      </c>
      <c r="D651" s="9" t="s">
        <v>8923</v>
      </c>
      <c r="E651" s="9" t="s">
        <v>8770</v>
      </c>
      <c r="F651" s="9" t="s">
        <v>4652</v>
      </c>
      <c r="G651" s="36" t="s">
        <v>14</v>
      </c>
      <c r="H651" s="36" t="str">
        <f>IFERROR(VLOOKUP(Table2[[#This Row], [Ticket]],Okey!A:B,2,0),"")</f>
        <v/>
      </c>
      <c r="K651" s="36" t="s">
        <v>8705</v>
      </c>
      <c r="M651" s="36" t="s">
        <v>8016</v>
      </c>
    </row>
    <row r="652" spans="1:13" hidden="1">
      <c r="A652" s="42">
        <f t="shared" si="10"/>
        <v>651</v>
      </c>
      <c r="B652" s="36" t="s">
        <v>6</v>
      </c>
      <c r="C652" s="36" t="s">
        <v>8718</v>
      </c>
      <c r="D652" s="9" t="s">
        <v>8924</v>
      </c>
      <c r="E652" s="9" t="s">
        <v>8771</v>
      </c>
      <c r="F652" s="9" t="s">
        <v>4654</v>
      </c>
      <c r="G652" s="36" t="s">
        <v>14</v>
      </c>
      <c r="H652" s="36" t="str">
        <f>IFERROR(VLOOKUP(Table2[[#This Row], [Ticket]],Okey!A:B,2,0),"")</f>
        <v/>
      </c>
      <c r="K652" s="36" t="s">
        <v>8705</v>
      </c>
      <c r="M652" s="36" t="s">
        <v>8016</v>
      </c>
    </row>
    <row r="653" spans="1:13" hidden="1">
      <c r="A653" s="42">
        <f t="shared" si="10"/>
        <v>652</v>
      </c>
      <c r="B653" s="36" t="s">
        <v>6</v>
      </c>
      <c r="C653" s="36" t="s">
        <v>8718</v>
      </c>
      <c r="D653" s="9" t="s">
        <v>8925</v>
      </c>
      <c r="E653" s="9" t="s">
        <v>8768</v>
      </c>
      <c r="F653" s="9" t="s">
        <v>7804</v>
      </c>
      <c r="G653" s="36" t="s">
        <v>14</v>
      </c>
      <c r="H653" s="36" t="str">
        <f>IFERROR(VLOOKUP(Table2[[#This Row], [Ticket]],Okey!A:B,2,0),"")</f>
        <v/>
      </c>
      <c r="K653" s="36" t="s">
        <v>8705</v>
      </c>
      <c r="M653" s="36" t="s">
        <v>8016</v>
      </c>
    </row>
    <row r="654" spans="1:13" hidden="1">
      <c r="A654" s="42">
        <f t="shared" si="10"/>
        <v>653</v>
      </c>
      <c r="B654" s="36" t="s">
        <v>6</v>
      </c>
      <c r="C654" s="36" t="s">
        <v>8718</v>
      </c>
      <c r="D654" s="9" t="s">
        <v>8926</v>
      </c>
      <c r="E654" s="9" t="s">
        <v>8772</v>
      </c>
      <c r="F654" s="9" t="s">
        <v>7813</v>
      </c>
      <c r="G654" s="36" t="s">
        <v>14</v>
      </c>
      <c r="H654" s="36" t="str">
        <f>IFERROR(VLOOKUP(Table2[[#This Row], [Ticket]],Okey!A:B,2,0),"")</f>
        <v/>
      </c>
      <c r="K654" s="36" t="s">
        <v>8705</v>
      </c>
      <c r="M654" s="36" t="s">
        <v>8016</v>
      </c>
    </row>
    <row r="655" spans="1:13" hidden="1">
      <c r="A655" s="42">
        <f t="shared" si="10"/>
        <v>654</v>
      </c>
      <c r="B655" s="36" t="s">
        <v>6</v>
      </c>
      <c r="C655" s="36" t="s">
        <v>8718</v>
      </c>
      <c r="D655" s="9" t="s">
        <v>8927</v>
      </c>
      <c r="E655" s="9" t="s">
        <v>8771</v>
      </c>
      <c r="F655" s="9" t="s">
        <v>7814</v>
      </c>
      <c r="G655" s="36" t="s">
        <v>14</v>
      </c>
      <c r="H655" s="36" t="str">
        <f>IFERROR(VLOOKUP(Table2[[#This Row], [Ticket]],Okey!A:B,2,0),"")</f>
        <v/>
      </c>
      <c r="K655" s="36" t="s">
        <v>8705</v>
      </c>
      <c r="M655" s="36" t="s">
        <v>8016</v>
      </c>
    </row>
    <row r="656" spans="1:13" hidden="1">
      <c r="A656" s="42">
        <f t="shared" si="10"/>
        <v>655</v>
      </c>
      <c r="B656" s="36" t="s">
        <v>6</v>
      </c>
      <c r="C656" s="36" t="s">
        <v>8718</v>
      </c>
      <c r="D656" s="9" t="s">
        <v>8928</v>
      </c>
      <c r="E656" s="9" t="s">
        <v>4686</v>
      </c>
      <c r="F656" s="9" t="s">
        <v>7814</v>
      </c>
      <c r="G656" s="36" t="s">
        <v>14</v>
      </c>
      <c r="H656" s="36" t="str">
        <f>IFERROR(VLOOKUP(Table2[[#This Row], [Ticket]],Okey!A:B,2,0),"")</f>
        <v/>
      </c>
      <c r="K656" s="36" t="s">
        <v>8705</v>
      </c>
      <c r="M656" s="36" t="s">
        <v>8016</v>
      </c>
    </row>
    <row r="657" spans="1:13" hidden="1">
      <c r="A657" s="42">
        <f t="shared" si="10"/>
        <v>656</v>
      </c>
      <c r="B657" s="36" t="s">
        <v>6</v>
      </c>
      <c r="C657" s="36" t="s">
        <v>8718</v>
      </c>
      <c r="D657" s="9" t="s">
        <v>8929</v>
      </c>
      <c r="E657" s="9" t="s">
        <v>8773</v>
      </c>
      <c r="F657" s="9" t="s">
        <v>7814</v>
      </c>
      <c r="G657" s="36" t="s">
        <v>14</v>
      </c>
      <c r="H657" s="36" t="str">
        <f>IFERROR(VLOOKUP(Table2[[#This Row], [Ticket]],Okey!A:B,2,0),"")</f>
        <v/>
      </c>
      <c r="K657" s="36" t="s">
        <v>8705</v>
      </c>
      <c r="M657" s="36" t="s">
        <v>8016</v>
      </c>
    </row>
    <row r="658" spans="1:13" hidden="1">
      <c r="A658" s="42">
        <f t="shared" si="10"/>
        <v>657</v>
      </c>
      <c r="B658" s="36" t="s">
        <v>6</v>
      </c>
      <c r="C658" s="36" t="s">
        <v>8718</v>
      </c>
      <c r="D658" s="9" t="s">
        <v>8930</v>
      </c>
      <c r="E658" s="9" t="s">
        <v>8774</v>
      </c>
      <c r="F658" s="9" t="s">
        <v>4638</v>
      </c>
      <c r="G658" s="36" t="s">
        <v>14</v>
      </c>
      <c r="H658" s="36" t="str">
        <f>IFERROR(VLOOKUP(Table2[[#This Row], [Ticket]],Okey!A:B,2,0),"")</f>
        <v/>
      </c>
      <c r="K658" s="36" t="s">
        <v>8705</v>
      </c>
      <c r="M658" s="36" t="s">
        <v>8016</v>
      </c>
    </row>
    <row r="659" spans="1:13" hidden="1">
      <c r="A659" s="42">
        <f t="shared" si="10"/>
        <v>658</v>
      </c>
      <c r="B659" s="36" t="s">
        <v>6</v>
      </c>
      <c r="C659" s="36" t="s">
        <v>8718</v>
      </c>
      <c r="D659" s="9" t="s">
        <v>8931</v>
      </c>
      <c r="E659" s="9" t="s">
        <v>8775</v>
      </c>
      <c r="F659" s="9" t="s">
        <v>4640</v>
      </c>
      <c r="G659" s="36" t="s">
        <v>14</v>
      </c>
      <c r="H659" s="36" t="str">
        <f>IFERROR(VLOOKUP(Table2[[#This Row], [Ticket]],Okey!A:B,2,0),"")</f>
        <v/>
      </c>
      <c r="K659" s="36" t="s">
        <v>8705</v>
      </c>
      <c r="M659" s="36" t="s">
        <v>8016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8718</v>
      </c>
      <c r="D660" s="9" t="s">
        <v>8932</v>
      </c>
      <c r="E660" s="9" t="s">
        <v>8776</v>
      </c>
      <c r="F660" s="9" t="s">
        <v>4642</v>
      </c>
      <c r="G660" s="36" t="s">
        <v>14</v>
      </c>
      <c r="H660" s="36" t="str">
        <f>IFERROR(VLOOKUP(Table2[[#This Row], [Ticket]],Okey!A:B,2,0),"")</f>
        <v/>
      </c>
      <c r="K660" s="36" t="s">
        <v>8705</v>
      </c>
      <c r="M660" s="36" t="s">
        <v>8016</v>
      </c>
    </row>
    <row r="661" spans="1:13" hidden="1">
      <c r="A661" s="42">
        <f t="shared" si="11"/>
        <v>660</v>
      </c>
      <c r="B661" s="36" t="s">
        <v>6</v>
      </c>
      <c r="C661" s="36" t="s">
        <v>8718</v>
      </c>
      <c r="D661" s="9" t="s">
        <v>8933</v>
      </c>
      <c r="E661" s="9" t="s">
        <v>8777</v>
      </c>
      <c r="F661" s="9" t="s">
        <v>4644</v>
      </c>
      <c r="G661" s="36" t="s">
        <v>14</v>
      </c>
      <c r="H661" s="36" t="str">
        <f>IFERROR(VLOOKUP(Table2[[#This Row], [Ticket]],Okey!A:B,2,0),"")</f>
        <v/>
      </c>
      <c r="K661" s="36" t="s">
        <v>8705</v>
      </c>
      <c r="M661" s="36" t="s">
        <v>8016</v>
      </c>
    </row>
    <row r="662" spans="1:13" hidden="1">
      <c r="A662" s="42">
        <f t="shared" si="11"/>
        <v>661</v>
      </c>
      <c r="B662" s="36" t="s">
        <v>6</v>
      </c>
      <c r="C662" s="36" t="s">
        <v>8718</v>
      </c>
      <c r="D662" s="9" t="s">
        <v>8934</v>
      </c>
      <c r="E662" s="9" t="s">
        <v>8778</v>
      </c>
      <c r="F662" s="9" t="s">
        <v>4646</v>
      </c>
      <c r="G662" s="36" t="s">
        <v>14</v>
      </c>
      <c r="H662" s="36" t="str">
        <f>IFERROR(VLOOKUP(Table2[[#This Row], [Ticket]],Okey!A:B,2,0),"")</f>
        <v/>
      </c>
      <c r="K662" s="36" t="s">
        <v>8705</v>
      </c>
      <c r="M662" s="36" t="s">
        <v>8016</v>
      </c>
    </row>
    <row r="663" spans="1:13" hidden="1">
      <c r="A663" s="42">
        <f t="shared" si="11"/>
        <v>662</v>
      </c>
      <c r="B663" s="36" t="s">
        <v>6</v>
      </c>
      <c r="C663" s="36" t="s">
        <v>8718</v>
      </c>
      <c r="D663" s="9" t="s">
        <v>8935</v>
      </c>
      <c r="E663" s="9" t="s">
        <v>8779</v>
      </c>
      <c r="F663" s="9" t="s">
        <v>4650</v>
      </c>
      <c r="G663" s="36" t="s">
        <v>14</v>
      </c>
      <c r="H663" s="36" t="str">
        <f>IFERROR(VLOOKUP(Table2[[#This Row], [Ticket]],Okey!A:B,2,0),"")</f>
        <v/>
      </c>
      <c r="K663" s="36" t="s">
        <v>8705</v>
      </c>
      <c r="M663" s="36" t="s">
        <v>8016</v>
      </c>
    </row>
    <row r="664" spans="1:13" hidden="1">
      <c r="A664" s="42">
        <f t="shared" si="11"/>
        <v>663</v>
      </c>
      <c r="B664" s="36" t="s">
        <v>6</v>
      </c>
      <c r="C664" s="36" t="s">
        <v>8718</v>
      </c>
      <c r="D664" s="9" t="s">
        <v>8936</v>
      </c>
      <c r="E664" s="9" t="s">
        <v>8780</v>
      </c>
      <c r="F664" s="9" t="s">
        <v>4652</v>
      </c>
      <c r="G664" s="36" t="s">
        <v>14</v>
      </c>
      <c r="H664" s="36" t="str">
        <f>IFERROR(VLOOKUP(Table2[[#This Row], [Ticket]],Okey!A:B,2,0),"")</f>
        <v/>
      </c>
      <c r="K664" s="36" t="s">
        <v>8705</v>
      </c>
      <c r="M664" s="36" t="s">
        <v>8016</v>
      </c>
    </row>
    <row r="665" spans="1:13" hidden="1">
      <c r="A665" s="42">
        <f t="shared" si="11"/>
        <v>664</v>
      </c>
      <c r="B665" s="36" t="s">
        <v>6</v>
      </c>
      <c r="C665" s="36" t="s">
        <v>8718</v>
      </c>
      <c r="D665" s="9" t="s">
        <v>8937</v>
      </c>
      <c r="E665" s="9" t="s">
        <v>8773</v>
      </c>
      <c r="F665" s="9" t="s">
        <v>4654</v>
      </c>
      <c r="G665" s="36" t="s">
        <v>14</v>
      </c>
      <c r="H665" s="36" t="str">
        <f>IFERROR(VLOOKUP(Table2[[#This Row], [Ticket]],Okey!A:B,2,0),"")</f>
        <v/>
      </c>
      <c r="K665" s="36" t="s">
        <v>8705</v>
      </c>
      <c r="M665" s="36" t="s">
        <v>8016</v>
      </c>
    </row>
    <row r="666" spans="1:13" hidden="1">
      <c r="A666" s="42">
        <f t="shared" si="11"/>
        <v>665</v>
      </c>
      <c r="B666" s="36" t="s">
        <v>6</v>
      </c>
      <c r="C666" s="36" t="s">
        <v>8718</v>
      </c>
      <c r="D666" s="9" t="s">
        <v>8938</v>
      </c>
      <c r="E666" s="9" t="s">
        <v>8778</v>
      </c>
      <c r="F666" s="9" t="s">
        <v>7804</v>
      </c>
      <c r="G666" s="36" t="s">
        <v>14</v>
      </c>
      <c r="H666" s="36" t="str">
        <f>IFERROR(VLOOKUP(Table2[[#This Row], [Ticket]],Okey!A:B,2,0),"")</f>
        <v/>
      </c>
      <c r="K666" s="36" t="s">
        <v>8705</v>
      </c>
      <c r="M666" s="36" t="s">
        <v>8016</v>
      </c>
    </row>
    <row r="667" spans="1:13" hidden="1">
      <c r="A667" s="42">
        <f t="shared" si="11"/>
        <v>666</v>
      </c>
      <c r="B667" s="36" t="s">
        <v>6</v>
      </c>
      <c r="C667" s="36" t="s">
        <v>8718</v>
      </c>
      <c r="D667" s="9" t="s">
        <v>8939</v>
      </c>
      <c r="E667" s="9" t="s">
        <v>8781</v>
      </c>
      <c r="F667" s="9" t="s">
        <v>7813</v>
      </c>
      <c r="G667" s="36" t="s">
        <v>14</v>
      </c>
      <c r="H667" s="36" t="str">
        <f>IFERROR(VLOOKUP(Table2[[#This Row], [Ticket]],Okey!A:B,2,0),"")</f>
        <v/>
      </c>
      <c r="K667" s="36" t="s">
        <v>8705</v>
      </c>
      <c r="M667" s="36" t="s">
        <v>8016</v>
      </c>
    </row>
    <row r="668" spans="1:13" hidden="1">
      <c r="A668" s="42">
        <f t="shared" si="11"/>
        <v>667</v>
      </c>
      <c r="B668" s="36" t="s">
        <v>6</v>
      </c>
      <c r="C668" s="36" t="s">
        <v>8718</v>
      </c>
      <c r="D668" s="9" t="s">
        <v>8940</v>
      </c>
      <c r="E668" s="9" t="s">
        <v>8782</v>
      </c>
      <c r="F668" s="9" t="s">
        <v>7813</v>
      </c>
      <c r="G668" s="36" t="s">
        <v>14</v>
      </c>
      <c r="H668" s="36" t="str">
        <f>IFERROR(VLOOKUP(Table2[[#This Row], [Ticket]],Okey!A:B,2,0),"")</f>
        <v/>
      </c>
      <c r="K668" s="36" t="s">
        <v>8705</v>
      </c>
      <c r="M668" s="36" t="s">
        <v>8016</v>
      </c>
    </row>
    <row r="669" spans="1:13" hidden="1">
      <c r="A669" s="42">
        <f t="shared" si="11"/>
        <v>668</v>
      </c>
      <c r="B669" s="36" t="s">
        <v>6</v>
      </c>
      <c r="C669" s="36" t="s">
        <v>8718</v>
      </c>
      <c r="D669" s="9" t="s">
        <v>8941</v>
      </c>
      <c r="E669" s="9" t="s">
        <v>4674</v>
      </c>
      <c r="F669" s="9" t="s">
        <v>7804</v>
      </c>
      <c r="G669" s="36" t="s">
        <v>14</v>
      </c>
      <c r="H669" s="36" t="str">
        <f>IFERROR(VLOOKUP(Table2[[#This Row], [Ticket]],Okey!A:B,2,0),"")</f>
        <v/>
      </c>
      <c r="K669" s="36" t="s">
        <v>8705</v>
      </c>
      <c r="M669" s="36" t="s">
        <v>8016</v>
      </c>
    </row>
    <row r="670" spans="1:13" hidden="1">
      <c r="A670" s="42">
        <f t="shared" si="11"/>
        <v>669</v>
      </c>
      <c r="B670" s="36" t="s">
        <v>6</v>
      </c>
      <c r="C670" s="36" t="s">
        <v>8718</v>
      </c>
      <c r="D670" s="9" t="s">
        <v>8942</v>
      </c>
      <c r="E670" s="9" t="s">
        <v>8783</v>
      </c>
      <c r="F670" s="9" t="s">
        <v>8047</v>
      </c>
      <c r="G670" s="36" t="s">
        <v>14</v>
      </c>
      <c r="H670" s="36" t="str">
        <f>IFERROR(VLOOKUP(Table2[[#This Row], [Ticket]],Okey!A:B,2,0),"")</f>
        <v/>
      </c>
      <c r="K670" s="36" t="s">
        <v>8705</v>
      </c>
      <c r="M670" s="36" t="s">
        <v>8016</v>
      </c>
    </row>
    <row r="671" spans="1:13" hidden="1">
      <c r="A671" s="42">
        <f t="shared" si="11"/>
        <v>670</v>
      </c>
      <c r="B671" s="36" t="s">
        <v>6</v>
      </c>
      <c r="C671" s="36" t="s">
        <v>8718</v>
      </c>
      <c r="D671" s="9" t="s">
        <v>3336</v>
      </c>
      <c r="E671" s="9" t="s">
        <v>8787</v>
      </c>
      <c r="G671" s="9" t="s">
        <v>15</v>
      </c>
      <c r="H671" s="36" t="str">
        <f>IFERROR(VLOOKUP(Table2[[#This Row], [Ticket]],Okey!A:B,2,0),"")</f>
        <v/>
      </c>
      <c r="K671" s="36" t="s">
        <v>7857</v>
      </c>
      <c r="M671" s="36" t="s">
        <v>8016</v>
      </c>
    </row>
    <row r="672" spans="1:13" hidden="1">
      <c r="A672" s="42">
        <f t="shared" si="11"/>
        <v>671</v>
      </c>
      <c r="B672" s="36" t="s">
        <v>6</v>
      </c>
      <c r="C672" s="36" t="s">
        <v>8718</v>
      </c>
      <c r="D672" s="9" t="s">
        <v>722</v>
      </c>
      <c r="E672" s="9" t="s">
        <v>8788</v>
      </c>
      <c r="G672" s="36" t="s">
        <v>15</v>
      </c>
      <c r="H672" s="36" t="str">
        <f>IFERROR(VLOOKUP(Table2[[#This Row], [Ticket]],Okey!A:B,2,0),"")</f>
        <v/>
      </c>
      <c r="K672" s="36" t="s">
        <v>7857</v>
      </c>
      <c r="M672" s="36" t="s">
        <v>8016</v>
      </c>
    </row>
    <row r="673" spans="1:13" hidden="1">
      <c r="A673" s="42">
        <f t="shared" si="11"/>
        <v>672</v>
      </c>
      <c r="B673" s="36" t="s">
        <v>6</v>
      </c>
      <c r="C673" s="36" t="s">
        <v>8718</v>
      </c>
      <c r="D673" s="9" t="s">
        <v>4297</v>
      </c>
      <c r="E673" s="9" t="s">
        <v>8789</v>
      </c>
      <c r="G673" s="36" t="s">
        <v>15</v>
      </c>
      <c r="H673" s="36" t="str">
        <f>IFERROR(VLOOKUP(Table2[[#This Row], [Ticket]],Okey!A:B,2,0),"")</f>
        <v/>
      </c>
      <c r="K673" s="36" t="s">
        <v>7857</v>
      </c>
      <c r="M673" s="36" t="s">
        <v>8016</v>
      </c>
    </row>
    <row r="674" spans="1:13" hidden="1">
      <c r="A674" s="42">
        <f t="shared" si="11"/>
        <v>673</v>
      </c>
      <c r="B674" s="36" t="s">
        <v>6</v>
      </c>
      <c r="C674" s="36" t="s">
        <v>8718</v>
      </c>
      <c r="D674" s="9" t="s">
        <v>4210</v>
      </c>
      <c r="E674" s="9" t="s">
        <v>8790</v>
      </c>
      <c r="G674" s="36" t="s">
        <v>15</v>
      </c>
      <c r="H674" s="36" t="str">
        <f>IFERROR(VLOOKUP(Table2[[#This Row], [Ticket]],Okey!A:B,2,0),"")</f>
        <v/>
      </c>
      <c r="K674" s="36" t="s">
        <v>7857</v>
      </c>
      <c r="M674" s="36" t="s">
        <v>8016</v>
      </c>
    </row>
    <row r="675" spans="1:13" hidden="1">
      <c r="A675" s="42">
        <f t="shared" si="11"/>
        <v>674</v>
      </c>
      <c r="B675" s="36" t="s">
        <v>6</v>
      </c>
      <c r="C675" s="36" t="s">
        <v>8718</v>
      </c>
      <c r="D675" s="9" t="s">
        <v>5322</v>
      </c>
      <c r="E675" s="9" t="s">
        <v>8791</v>
      </c>
      <c r="G675" s="36" t="s">
        <v>15</v>
      </c>
      <c r="H675" s="36" t="str">
        <f>IFERROR(VLOOKUP(Table2[[#This Row], [Ticket]],Okey!A:B,2,0),"")</f>
        <v/>
      </c>
      <c r="K675" s="36" t="s">
        <v>7857</v>
      </c>
      <c r="M675" s="36" t="s">
        <v>8016</v>
      </c>
    </row>
    <row r="676" spans="1:13" hidden="1">
      <c r="A676" s="42">
        <f t="shared" si="11"/>
        <v>675</v>
      </c>
      <c r="B676" s="36" t="s">
        <v>6</v>
      </c>
      <c r="C676" s="36" t="s">
        <v>8718</v>
      </c>
      <c r="D676" s="9" t="s">
        <v>5348</v>
      </c>
      <c r="E676" s="9" t="s">
        <v>8792</v>
      </c>
      <c r="G676" s="36" t="s">
        <v>15</v>
      </c>
      <c r="H676" s="36" t="str">
        <f>IFERROR(VLOOKUP(Table2[[#This Row], [Ticket]],Okey!A:B,2,0),"")</f>
        <v/>
      </c>
      <c r="K676" s="36" t="s">
        <v>7857</v>
      </c>
      <c r="M676" s="36" t="s">
        <v>8016</v>
      </c>
    </row>
    <row r="677" spans="1:13" hidden="1">
      <c r="A677" s="42">
        <f t="shared" si="11"/>
        <v>676</v>
      </c>
      <c r="B677" s="36" t="s">
        <v>6</v>
      </c>
      <c r="C677" s="36" t="s">
        <v>8718</v>
      </c>
      <c r="D677" s="9" t="s">
        <v>5873</v>
      </c>
      <c r="E677" s="9" t="s">
        <v>8793</v>
      </c>
      <c r="G677" s="36" t="s">
        <v>15</v>
      </c>
      <c r="H677" s="36" t="str">
        <f>IFERROR(VLOOKUP(Table2[[#This Row], [Ticket]],Okey!A:B,2,0),"")</f>
        <v/>
      </c>
      <c r="K677" s="36" t="s">
        <v>7857</v>
      </c>
      <c r="M677" s="36" t="s">
        <v>8016</v>
      </c>
    </row>
    <row r="678" spans="1:13" hidden="1">
      <c r="A678" s="42">
        <f t="shared" si="11"/>
        <v>677</v>
      </c>
      <c r="B678" s="36" t="s">
        <v>6</v>
      </c>
      <c r="C678" s="36" t="s">
        <v>8718</v>
      </c>
      <c r="D678" s="9" t="s">
        <v>5393</v>
      </c>
      <c r="E678" s="9" t="s">
        <v>8794</v>
      </c>
      <c r="G678" s="36" t="s">
        <v>15</v>
      </c>
      <c r="H678" s="36" t="str">
        <f>IFERROR(VLOOKUP(Table2[[#This Row], [Ticket]],Okey!A:B,2,0),"")</f>
        <v/>
      </c>
      <c r="K678" s="36" t="s">
        <v>7857</v>
      </c>
      <c r="M678" s="36" t="s">
        <v>8016</v>
      </c>
    </row>
    <row r="679" spans="1:13" hidden="1">
      <c r="A679" s="42">
        <f t="shared" si="11"/>
        <v>678</v>
      </c>
      <c r="B679" s="36" t="s">
        <v>6</v>
      </c>
      <c r="C679" s="36" t="s">
        <v>8718</v>
      </c>
      <c r="D679" s="9" t="s">
        <v>5890</v>
      </c>
      <c r="E679" s="9" t="s">
        <v>8795</v>
      </c>
      <c r="G679" s="36" t="s">
        <v>15</v>
      </c>
      <c r="H679" s="36" t="str">
        <f>IFERROR(VLOOKUP(Table2[[#This Row], [Ticket]],Okey!A:B,2,0),"")</f>
        <v/>
      </c>
      <c r="K679" s="36" t="s">
        <v>7857</v>
      </c>
      <c r="M679" s="36" t="s">
        <v>8016</v>
      </c>
    </row>
    <row r="680" spans="1:13" hidden="1">
      <c r="A680" s="42">
        <f t="shared" si="11"/>
        <v>679</v>
      </c>
      <c r="B680" s="36" t="s">
        <v>6</v>
      </c>
      <c r="C680" s="36" t="s">
        <v>8718</v>
      </c>
      <c r="D680" s="9" t="s">
        <v>8796</v>
      </c>
      <c r="E680" s="9" t="s">
        <v>8797</v>
      </c>
      <c r="G680" s="36" t="s">
        <v>15</v>
      </c>
      <c r="H680" s="36" t="str">
        <f>IFERROR(VLOOKUP(Table2[[#This Row], [Ticket]],Okey!A:B,2,0),"")</f>
        <v/>
      </c>
      <c r="K680" s="36" t="s">
        <v>7857</v>
      </c>
      <c r="M680" s="36" t="s">
        <v>8016</v>
      </c>
    </row>
    <row r="681" spans="1:13" hidden="1">
      <c r="A681" s="42">
        <f t="shared" si="11"/>
        <v>680</v>
      </c>
      <c r="B681" s="36" t="s">
        <v>6</v>
      </c>
      <c r="C681" s="36" t="s">
        <v>8718</v>
      </c>
      <c r="D681" s="9" t="s">
        <v>8798</v>
      </c>
      <c r="E681" s="9" t="s">
        <v>8799</v>
      </c>
      <c r="G681" s="36" t="s">
        <v>15</v>
      </c>
      <c r="H681" s="36" t="str">
        <f>IFERROR(VLOOKUP(Table2[[#This Row], [Ticket]],Okey!A:B,2,0),"")</f>
        <v/>
      </c>
      <c r="K681" s="36" t="s">
        <v>7857</v>
      </c>
      <c r="M681" s="36" t="s">
        <v>8016</v>
      </c>
    </row>
    <row r="682" spans="1:13" hidden="1">
      <c r="A682" s="42">
        <f t="shared" si="11"/>
        <v>681</v>
      </c>
      <c r="B682" s="36" t="s">
        <v>6</v>
      </c>
      <c r="C682" s="36" t="s">
        <v>8718</v>
      </c>
      <c r="D682" s="9" t="s">
        <v>8800</v>
      </c>
      <c r="E682" s="9" t="s">
        <v>8801</v>
      </c>
      <c r="G682" s="36" t="s">
        <v>15</v>
      </c>
      <c r="H682" s="36" t="str">
        <f>IFERROR(VLOOKUP(Table2[[#This Row], [Ticket]],Okey!A:B,2,0),"")</f>
        <v/>
      </c>
      <c r="K682" s="36" t="s">
        <v>7857</v>
      </c>
      <c r="M682" s="36" t="s">
        <v>8016</v>
      </c>
    </row>
    <row r="683" spans="1:13" hidden="1">
      <c r="A683" s="42">
        <f t="shared" si="11"/>
        <v>682</v>
      </c>
      <c r="B683" s="36" t="s">
        <v>6</v>
      </c>
      <c r="C683" s="36" t="s">
        <v>8718</v>
      </c>
      <c r="D683" s="9" t="s">
        <v>2445</v>
      </c>
      <c r="E683" s="9" t="s">
        <v>8802</v>
      </c>
      <c r="G683" s="36" t="s">
        <v>15</v>
      </c>
      <c r="H683" s="36" t="str">
        <f>IFERROR(VLOOKUP(Table2[[#This Row], [Ticket]],Okey!A:B,2,0),"")</f>
        <v/>
      </c>
      <c r="K683" s="36" t="s">
        <v>7857</v>
      </c>
      <c r="M683" s="36" t="s">
        <v>8016</v>
      </c>
    </row>
    <row r="684" spans="1:13" hidden="1">
      <c r="A684" s="42">
        <f t="shared" si="11"/>
        <v>683</v>
      </c>
      <c r="B684" s="36" t="s">
        <v>6</v>
      </c>
      <c r="C684" s="36" t="s">
        <v>8718</v>
      </c>
      <c r="D684" s="9" t="s">
        <v>1621</v>
      </c>
      <c r="E684" s="9" t="s">
        <v>8803</v>
      </c>
      <c r="G684" s="36" t="s">
        <v>15</v>
      </c>
      <c r="H684" s="36" t="str">
        <f>IFERROR(VLOOKUP(Table2[[#This Row], [Ticket]],Okey!A:B,2,0),"")</f>
        <v/>
      </c>
      <c r="K684" s="36" t="s">
        <v>7857</v>
      </c>
      <c r="M684" s="36" t="s">
        <v>8016</v>
      </c>
    </row>
    <row r="685" spans="1:13" hidden="1">
      <c r="A685" s="42">
        <f t="shared" si="11"/>
        <v>684</v>
      </c>
      <c r="B685" s="36" t="s">
        <v>6</v>
      </c>
      <c r="C685" s="36" t="s">
        <v>8718</v>
      </c>
      <c r="D685" s="9" t="s">
        <v>2500</v>
      </c>
      <c r="E685" s="9" t="s">
        <v>8804</v>
      </c>
      <c r="G685" s="36" t="s">
        <v>15</v>
      </c>
      <c r="H685" s="36" t="str">
        <f>IFERROR(VLOOKUP(Table2[[#This Row], [Ticket]],Okey!A:B,2,0),"")</f>
        <v/>
      </c>
      <c r="K685" s="36" t="s">
        <v>7857</v>
      </c>
      <c r="M685" s="36" t="s">
        <v>8016</v>
      </c>
    </row>
    <row r="686" spans="1:13" hidden="1">
      <c r="A686" s="42">
        <f t="shared" si="11"/>
        <v>685</v>
      </c>
      <c r="B686" s="36" t="s">
        <v>6</v>
      </c>
      <c r="C686" s="36" t="s">
        <v>8718</v>
      </c>
      <c r="D686" s="9" t="s">
        <v>4857</v>
      </c>
      <c r="E686" s="9" t="s">
        <v>8805</v>
      </c>
      <c r="G686" s="36" t="s">
        <v>15</v>
      </c>
      <c r="H686" s="36" t="str">
        <f>IFERROR(VLOOKUP(Table2[[#This Row], [Ticket]],Okey!A:B,2,0),"")</f>
        <v/>
      </c>
      <c r="K686" s="36" t="s">
        <v>7857</v>
      </c>
      <c r="M686" s="36" t="s">
        <v>8016</v>
      </c>
    </row>
    <row r="687" spans="1:13" hidden="1">
      <c r="A687" s="42">
        <f t="shared" si="11"/>
        <v>686</v>
      </c>
      <c r="B687" s="36" t="s">
        <v>6</v>
      </c>
      <c r="C687" s="36" t="s">
        <v>8718</v>
      </c>
      <c r="D687" s="9" t="s">
        <v>4861</v>
      </c>
      <c r="E687" s="9" t="s">
        <v>8806</v>
      </c>
      <c r="G687" s="36" t="s">
        <v>15</v>
      </c>
      <c r="H687" s="36" t="str">
        <f>IFERROR(VLOOKUP(Table2[[#This Row], [Ticket]],Okey!A:B,2,0),"")</f>
        <v/>
      </c>
      <c r="K687" s="36" t="s">
        <v>7857</v>
      </c>
      <c r="M687" s="36" t="s">
        <v>8016</v>
      </c>
    </row>
    <row r="688" spans="1:13" hidden="1">
      <c r="A688" s="42">
        <f t="shared" si="11"/>
        <v>687</v>
      </c>
      <c r="B688" s="36" t="s">
        <v>6</v>
      </c>
      <c r="C688" s="36" t="s">
        <v>8718</v>
      </c>
      <c r="D688" s="9" t="s">
        <v>4863</v>
      </c>
      <c r="E688" s="9" t="s">
        <v>8807</v>
      </c>
      <c r="G688" s="36" t="s">
        <v>15</v>
      </c>
      <c r="H688" s="36" t="str">
        <f>IFERROR(VLOOKUP(Table2[[#This Row], [Ticket]],Okey!A:B,2,0),"")</f>
        <v/>
      </c>
      <c r="K688" s="36" t="s">
        <v>7857</v>
      </c>
      <c r="M688" s="36" t="s">
        <v>8016</v>
      </c>
    </row>
    <row r="689" spans="1:13" hidden="1">
      <c r="A689" s="42">
        <f t="shared" si="11"/>
        <v>688</v>
      </c>
      <c r="B689" s="36" t="s">
        <v>6</v>
      </c>
      <c r="C689" s="36" t="s">
        <v>8718</v>
      </c>
      <c r="D689" s="9" t="s">
        <v>2537</v>
      </c>
      <c r="E689" s="9" t="s">
        <v>8808</v>
      </c>
      <c r="G689" s="36" t="s">
        <v>15</v>
      </c>
      <c r="H689" s="36" t="str">
        <f>IFERROR(VLOOKUP(Table2[[#This Row], [Ticket]],Okey!A:B,2,0),"")</f>
        <v/>
      </c>
      <c r="K689" s="36" t="s">
        <v>7857</v>
      </c>
      <c r="M689" s="36" t="s">
        <v>8016</v>
      </c>
    </row>
    <row r="690" spans="1:13" hidden="1">
      <c r="A690" s="42">
        <f t="shared" si="11"/>
        <v>689</v>
      </c>
      <c r="B690" s="36" t="s">
        <v>6</v>
      </c>
      <c r="C690" s="36" t="s">
        <v>8718</v>
      </c>
      <c r="D690" s="9" t="s">
        <v>2535</v>
      </c>
      <c r="E690" s="9" t="s">
        <v>8809</v>
      </c>
      <c r="G690" s="36" t="s">
        <v>15</v>
      </c>
      <c r="H690" s="36" t="str">
        <f>IFERROR(VLOOKUP(Table2[[#This Row], [Ticket]],Okey!A:B,2,0),"")</f>
        <v/>
      </c>
      <c r="K690" s="36" t="s">
        <v>7857</v>
      </c>
      <c r="M690" s="36" t="s">
        <v>8016</v>
      </c>
    </row>
    <row r="691" spans="1:13" hidden="1">
      <c r="A691" s="42">
        <f t="shared" si="11"/>
        <v>690</v>
      </c>
      <c r="B691" s="36" t="s">
        <v>6</v>
      </c>
      <c r="C691" s="36" t="s">
        <v>8718</v>
      </c>
      <c r="D691" s="9" t="s">
        <v>2538</v>
      </c>
      <c r="E691" s="9" t="s">
        <v>8810</v>
      </c>
      <c r="G691" s="36" t="s">
        <v>15</v>
      </c>
      <c r="H691" s="36" t="str">
        <f>IFERROR(VLOOKUP(Table2[[#This Row], [Ticket]],Okey!A:B,2,0),"")</f>
        <v/>
      </c>
      <c r="K691" s="36" t="s">
        <v>7857</v>
      </c>
      <c r="M691" s="36" t="s">
        <v>8016</v>
      </c>
    </row>
    <row r="692" spans="1:13" hidden="1">
      <c r="A692" s="42">
        <f t="shared" si="11"/>
        <v>691</v>
      </c>
      <c r="B692" s="36" t="s">
        <v>6</v>
      </c>
      <c r="C692" s="36" t="s">
        <v>8718</v>
      </c>
      <c r="D692" s="9" t="s">
        <v>2540</v>
      </c>
      <c r="E692" s="9" t="s">
        <v>8811</v>
      </c>
      <c r="G692" s="36" t="s">
        <v>15</v>
      </c>
      <c r="H692" s="36" t="str">
        <f>IFERROR(VLOOKUP(Table2[[#This Row], [Ticket]],Okey!A:B,2,0),"")</f>
        <v/>
      </c>
      <c r="K692" s="36" t="s">
        <v>7857</v>
      </c>
      <c r="M692" s="36" t="s">
        <v>8016</v>
      </c>
    </row>
    <row r="693" spans="1:13" hidden="1">
      <c r="A693" s="42">
        <f t="shared" si="11"/>
        <v>692</v>
      </c>
      <c r="B693" s="36" t="s">
        <v>6</v>
      </c>
      <c r="C693" s="36" t="s">
        <v>8718</v>
      </c>
      <c r="D693" s="9" t="s">
        <v>2418</v>
      </c>
      <c r="E693" s="9" t="s">
        <v>8812</v>
      </c>
      <c r="G693" s="36" t="s">
        <v>15</v>
      </c>
      <c r="H693" s="36" t="str">
        <f>IFERROR(VLOOKUP(Table2[[#This Row], [Ticket]],Okey!A:B,2,0),"")</f>
        <v/>
      </c>
      <c r="K693" s="36" t="s">
        <v>7857</v>
      </c>
      <c r="M693" s="36" t="s">
        <v>8016</v>
      </c>
    </row>
    <row r="694" spans="1:13" hidden="1">
      <c r="A694" s="42">
        <f t="shared" si="11"/>
        <v>693</v>
      </c>
      <c r="B694" s="36" t="s">
        <v>6</v>
      </c>
      <c r="C694" s="36" t="s">
        <v>8718</v>
      </c>
      <c r="D694" s="9" t="s">
        <v>2558</v>
      </c>
      <c r="E694" s="9" t="s">
        <v>8813</v>
      </c>
      <c r="G694" s="36" t="s">
        <v>15</v>
      </c>
      <c r="H694" s="36" t="str">
        <f>IFERROR(VLOOKUP(Table2[[#This Row], [Ticket]],Okey!A:B,2,0),"")</f>
        <v/>
      </c>
      <c r="K694" s="36" t="s">
        <v>7857</v>
      </c>
      <c r="M694" s="36" t="s">
        <v>8016</v>
      </c>
    </row>
    <row r="695" spans="1:13" hidden="1">
      <c r="A695" s="42">
        <f t="shared" si="11"/>
        <v>694</v>
      </c>
      <c r="B695" s="36" t="s">
        <v>6</v>
      </c>
      <c r="C695" s="36" t="s">
        <v>8718</v>
      </c>
      <c r="D695" s="9" t="s">
        <v>2556</v>
      </c>
      <c r="E695" s="9" t="s">
        <v>8814</v>
      </c>
      <c r="G695" s="36" t="s">
        <v>15</v>
      </c>
      <c r="H695" s="36" t="str">
        <f>IFERROR(VLOOKUP(Table2[[#This Row], [Ticket]],Okey!A:B,2,0),"")</f>
        <v/>
      </c>
      <c r="K695" s="36" t="s">
        <v>7857</v>
      </c>
      <c r="M695" s="36" t="s">
        <v>8016</v>
      </c>
    </row>
    <row r="696" spans="1:13" hidden="1">
      <c r="A696" s="42">
        <f t="shared" si="11"/>
        <v>695</v>
      </c>
      <c r="B696" s="36" t="s">
        <v>6</v>
      </c>
      <c r="C696" s="36" t="s">
        <v>8718</v>
      </c>
      <c r="D696" s="9" t="s">
        <v>2559</v>
      </c>
      <c r="E696" s="9" t="s">
        <v>8815</v>
      </c>
      <c r="G696" s="36" t="s">
        <v>15</v>
      </c>
      <c r="H696" s="36" t="str">
        <f>IFERROR(VLOOKUP(Table2[[#This Row], [Ticket]],Okey!A:B,2,0),"")</f>
        <v/>
      </c>
      <c r="K696" s="36" t="s">
        <v>7857</v>
      </c>
      <c r="M696" s="36" t="s">
        <v>8016</v>
      </c>
    </row>
    <row r="697" spans="1:13" hidden="1">
      <c r="A697" s="42">
        <f t="shared" si="11"/>
        <v>696</v>
      </c>
      <c r="B697" s="36" t="s">
        <v>6</v>
      </c>
      <c r="C697" s="36" t="s">
        <v>8718</v>
      </c>
      <c r="D697" s="9" t="s">
        <v>2561</v>
      </c>
      <c r="E697" s="9" t="s">
        <v>8816</v>
      </c>
      <c r="G697" s="36" t="s">
        <v>15</v>
      </c>
      <c r="H697" s="36" t="str">
        <f>IFERROR(VLOOKUP(Table2[[#This Row], [Ticket]],Okey!A:B,2,0),"")</f>
        <v/>
      </c>
      <c r="K697" s="36" t="s">
        <v>7857</v>
      </c>
      <c r="M697" s="36" t="s">
        <v>8016</v>
      </c>
    </row>
    <row r="698" spans="1:13" hidden="1">
      <c r="A698" s="42">
        <f t="shared" si="11"/>
        <v>697</v>
      </c>
      <c r="B698" s="36" t="s">
        <v>6</v>
      </c>
      <c r="C698" s="36" t="s">
        <v>8718</v>
      </c>
      <c r="D698" s="9" t="s">
        <v>8817</v>
      </c>
      <c r="E698" s="9" t="s">
        <v>8818</v>
      </c>
      <c r="G698" s="36" t="s">
        <v>15</v>
      </c>
      <c r="H698" s="36" t="str">
        <f>IFERROR(VLOOKUP(Table2[[#This Row], [Ticket]],Okey!A:B,2,0),"")</f>
        <v/>
      </c>
      <c r="K698" s="36" t="s">
        <v>7857</v>
      </c>
      <c r="M698" s="36" t="s">
        <v>8016</v>
      </c>
    </row>
    <row r="699" spans="1:13" hidden="1">
      <c r="A699" s="42">
        <f t="shared" si="11"/>
        <v>698</v>
      </c>
      <c r="B699" s="36" t="s">
        <v>6</v>
      </c>
      <c r="C699" s="36" t="s">
        <v>8718</v>
      </c>
      <c r="D699" s="9" t="s">
        <v>5926</v>
      </c>
      <c r="E699" s="9" t="s">
        <v>8819</v>
      </c>
      <c r="G699" s="36" t="s">
        <v>15</v>
      </c>
      <c r="H699" s="36" t="str">
        <f>IFERROR(VLOOKUP(Table2[[#This Row], [Ticket]],Okey!A:B,2,0),"")</f>
        <v/>
      </c>
      <c r="K699" s="36" t="s">
        <v>7857</v>
      </c>
      <c r="M699" s="36" t="s">
        <v>8016</v>
      </c>
    </row>
    <row r="700" spans="1:13" hidden="1">
      <c r="A700" s="42">
        <f t="shared" si="11"/>
        <v>699</v>
      </c>
      <c r="B700" s="36" t="s">
        <v>6</v>
      </c>
      <c r="C700" s="36" t="s">
        <v>8718</v>
      </c>
      <c r="D700" s="9" t="s">
        <v>8820</v>
      </c>
      <c r="E700" s="9" t="s">
        <v>8821</v>
      </c>
      <c r="G700" s="36" t="s">
        <v>15</v>
      </c>
      <c r="H700" s="36" t="str">
        <f>IFERROR(VLOOKUP(Table2[[#This Row], [Ticket]],Okey!A:B,2,0),"")</f>
        <v/>
      </c>
      <c r="K700" s="36" t="s">
        <v>7857</v>
      </c>
      <c r="M700" s="36" t="s">
        <v>8016</v>
      </c>
    </row>
    <row r="701" spans="1:13" hidden="1">
      <c r="A701" s="42">
        <f t="shared" si="11"/>
        <v>700</v>
      </c>
      <c r="B701" s="36" t="s">
        <v>6</v>
      </c>
      <c r="C701" s="36" t="s">
        <v>8718</v>
      </c>
      <c r="D701" s="9" t="s">
        <v>8822</v>
      </c>
      <c r="E701" s="9" t="s">
        <v>8823</v>
      </c>
      <c r="G701" s="36" t="s">
        <v>15</v>
      </c>
      <c r="H701" s="36" t="str">
        <f>IFERROR(VLOOKUP(Table2[[#This Row], [Ticket]],Okey!A:B,2,0),"")</f>
        <v/>
      </c>
      <c r="K701" s="36" t="s">
        <v>7857</v>
      </c>
      <c r="M701" s="36" t="s">
        <v>8016</v>
      </c>
    </row>
    <row r="702" spans="1:13" hidden="1">
      <c r="A702" s="42">
        <f t="shared" si="11"/>
        <v>701</v>
      </c>
      <c r="B702" s="36" t="s">
        <v>6</v>
      </c>
      <c r="C702" s="36" t="s">
        <v>8718</v>
      </c>
      <c r="D702" s="9" t="s">
        <v>8824</v>
      </c>
      <c r="E702" s="9" t="s">
        <v>8823</v>
      </c>
      <c r="G702" s="36" t="s">
        <v>15</v>
      </c>
      <c r="H702" s="36" t="str">
        <f>IFERROR(VLOOKUP(Table2[[#This Row], [Ticket]],Okey!A:B,2,0),"")</f>
        <v/>
      </c>
      <c r="K702" s="36" t="s">
        <v>7857</v>
      </c>
      <c r="M702" s="36" t="s">
        <v>8016</v>
      </c>
    </row>
    <row r="703" spans="1:13" hidden="1">
      <c r="A703" s="42">
        <f t="shared" si="11"/>
        <v>702</v>
      </c>
      <c r="B703" s="36" t="s">
        <v>6</v>
      </c>
      <c r="C703" s="36" t="s">
        <v>8718</v>
      </c>
      <c r="D703" s="9" t="s">
        <v>8825</v>
      </c>
      <c r="E703" s="9" t="s">
        <v>8826</v>
      </c>
      <c r="G703" s="36" t="s">
        <v>15</v>
      </c>
      <c r="H703" s="36" t="str">
        <f>IFERROR(VLOOKUP(Table2[[#This Row], [Ticket]],Okey!A:B,2,0),"")</f>
        <v/>
      </c>
      <c r="K703" s="36" t="s">
        <v>7857</v>
      </c>
      <c r="M703" s="36" t="s">
        <v>8016</v>
      </c>
    </row>
    <row r="704" spans="1:13" hidden="1">
      <c r="A704" s="42">
        <f t="shared" si="11"/>
        <v>703</v>
      </c>
      <c r="B704" s="36" t="s">
        <v>6</v>
      </c>
      <c r="C704" s="36" t="s">
        <v>8718</v>
      </c>
      <c r="D704" s="9" t="s">
        <v>8827</v>
      </c>
      <c r="E704" s="9" t="s">
        <v>8828</v>
      </c>
      <c r="G704" s="36" t="s">
        <v>15</v>
      </c>
      <c r="H704" s="36" t="str">
        <f>IFERROR(VLOOKUP(Table2[[#This Row], [Ticket]],Okey!A:B,2,0),"")</f>
        <v/>
      </c>
      <c r="K704" s="36" t="s">
        <v>7857</v>
      </c>
      <c r="M704" s="36" t="s">
        <v>8016</v>
      </c>
    </row>
    <row r="705" spans="1:13" hidden="1">
      <c r="A705" s="42">
        <f t="shared" si="11"/>
        <v>704</v>
      </c>
      <c r="B705" s="36" t="s">
        <v>6</v>
      </c>
      <c r="C705" s="36" t="s">
        <v>8718</v>
      </c>
      <c r="D705" s="9" t="s">
        <v>8829</v>
      </c>
      <c r="E705" s="9" t="s">
        <v>8830</v>
      </c>
      <c r="G705" s="36" t="s">
        <v>15</v>
      </c>
      <c r="H705" s="36" t="str">
        <f>IFERROR(VLOOKUP(Table2[[#This Row], [Ticket]],Okey!A:B,2,0),"")</f>
        <v/>
      </c>
      <c r="K705" s="36" t="s">
        <v>7857</v>
      </c>
      <c r="M705" s="36" t="s">
        <v>8016</v>
      </c>
    </row>
    <row r="706" spans="1:13" hidden="1">
      <c r="A706" s="42">
        <f t="shared" si="11"/>
        <v>705</v>
      </c>
      <c r="B706" s="36" t="s">
        <v>6</v>
      </c>
      <c r="C706" s="36" t="s">
        <v>8718</v>
      </c>
      <c r="D706" s="9" t="s">
        <v>2192</v>
      </c>
      <c r="E706" s="9" t="s">
        <v>8831</v>
      </c>
      <c r="G706" s="36" t="s">
        <v>15</v>
      </c>
      <c r="H706" s="36" t="str">
        <f>IFERROR(VLOOKUP(Table2[[#This Row], [Ticket]],Okey!A:B,2,0),"")</f>
        <v/>
      </c>
      <c r="K706" s="36" t="s">
        <v>7857</v>
      </c>
      <c r="M706" s="36" t="s">
        <v>8016</v>
      </c>
    </row>
    <row r="707" spans="1:13" hidden="1">
      <c r="A707" s="42">
        <f t="shared" si="11"/>
        <v>706</v>
      </c>
      <c r="B707" s="36" t="s">
        <v>6</v>
      </c>
      <c r="C707" s="36" t="s">
        <v>8718</v>
      </c>
      <c r="D707" s="9" t="s">
        <v>2542</v>
      </c>
      <c r="E707" s="9" t="s">
        <v>8832</v>
      </c>
      <c r="G707" s="36" t="s">
        <v>15</v>
      </c>
      <c r="H707" s="36" t="str">
        <f>IFERROR(VLOOKUP(Table2[[#This Row], [Ticket]],Okey!A:B,2,0),"")</f>
        <v/>
      </c>
      <c r="K707" s="36" t="s">
        <v>7857</v>
      </c>
      <c r="M707" s="36" t="s">
        <v>8016</v>
      </c>
    </row>
    <row r="708" spans="1:13" hidden="1">
      <c r="A708" s="42">
        <f t="shared" si="11"/>
        <v>707</v>
      </c>
      <c r="B708" s="36" t="s">
        <v>6</v>
      </c>
      <c r="C708" s="36" t="s">
        <v>8718</v>
      </c>
      <c r="D708" s="9" t="s">
        <v>2545</v>
      </c>
      <c r="E708" s="9" t="s">
        <v>8833</v>
      </c>
      <c r="G708" s="36" t="s">
        <v>15</v>
      </c>
      <c r="H708" s="36" t="str">
        <f>IFERROR(VLOOKUP(Table2[[#This Row], [Ticket]],Okey!A:B,2,0),"")</f>
        <v/>
      </c>
      <c r="K708" s="36" t="s">
        <v>7857</v>
      </c>
      <c r="M708" s="36" t="s">
        <v>8016</v>
      </c>
    </row>
    <row r="709" spans="1:13" hidden="1">
      <c r="A709" s="42">
        <f t="shared" si="11"/>
        <v>708</v>
      </c>
      <c r="B709" s="36" t="s">
        <v>6</v>
      </c>
      <c r="C709" s="36" t="s">
        <v>8718</v>
      </c>
      <c r="D709" s="9" t="s">
        <v>2547</v>
      </c>
      <c r="E709" s="9" t="s">
        <v>8834</v>
      </c>
      <c r="G709" s="36" t="s">
        <v>15</v>
      </c>
      <c r="H709" s="36" t="str">
        <f>IFERROR(VLOOKUP(Table2[[#This Row], [Ticket]],Okey!A:B,2,0),"")</f>
        <v/>
      </c>
      <c r="K709" s="36" t="s">
        <v>7857</v>
      </c>
      <c r="M709" s="36" t="s">
        <v>8016</v>
      </c>
    </row>
    <row r="710" spans="1:13" hidden="1">
      <c r="A710" s="42">
        <f t="shared" si="11"/>
        <v>709</v>
      </c>
      <c r="B710" s="36" t="s">
        <v>6</v>
      </c>
      <c r="C710" s="36" t="s">
        <v>8718</v>
      </c>
      <c r="D710" s="9" t="s">
        <v>5238</v>
      </c>
      <c r="E710" s="9" t="s">
        <v>8835</v>
      </c>
      <c r="G710" s="36" t="s">
        <v>15</v>
      </c>
      <c r="H710" s="36" t="str">
        <f>IFERROR(VLOOKUP(Table2[[#This Row], [Ticket]],Okey!A:B,2,0),"")</f>
        <v/>
      </c>
      <c r="K710" s="36" t="s">
        <v>7857</v>
      </c>
      <c r="M710" s="36" t="s">
        <v>8016</v>
      </c>
    </row>
    <row r="711" spans="1:13" hidden="1">
      <c r="A711" s="42">
        <f t="shared" si="11"/>
        <v>710</v>
      </c>
      <c r="B711" s="36" t="s">
        <v>6</v>
      </c>
      <c r="C711" s="36" t="s">
        <v>8718</v>
      </c>
      <c r="D711" s="9" t="s">
        <v>2305</v>
      </c>
      <c r="E711" s="9" t="s">
        <v>8836</v>
      </c>
      <c r="G711" s="36" t="s">
        <v>15</v>
      </c>
      <c r="H711" s="36" t="str">
        <f>IFERROR(VLOOKUP(Table2[[#This Row], [Ticket]],Okey!A:B,2,0),"")</f>
        <v/>
      </c>
      <c r="K711" s="36" t="s">
        <v>7857</v>
      </c>
      <c r="M711" s="36" t="s">
        <v>8016</v>
      </c>
    </row>
    <row r="712" spans="1:13" hidden="1">
      <c r="A712" s="42">
        <f t="shared" si="11"/>
        <v>711</v>
      </c>
      <c r="B712" s="36" t="s">
        <v>6</v>
      </c>
      <c r="C712" s="36" t="s">
        <v>8718</v>
      </c>
      <c r="D712" s="9" t="s">
        <v>2549</v>
      </c>
      <c r="E712" s="9" t="s">
        <v>8837</v>
      </c>
      <c r="G712" s="36" t="s">
        <v>15</v>
      </c>
      <c r="H712" s="36" t="str">
        <f>IFERROR(VLOOKUP(Table2[[#This Row], [Ticket]],Okey!A:B,2,0),"")</f>
        <v/>
      </c>
      <c r="K712" s="36" t="s">
        <v>7857</v>
      </c>
      <c r="M712" s="36" t="s">
        <v>8016</v>
      </c>
    </row>
    <row r="713" spans="1:13" hidden="1">
      <c r="A713" s="42">
        <f t="shared" si="11"/>
        <v>712</v>
      </c>
      <c r="B713" s="36" t="s">
        <v>6</v>
      </c>
      <c r="C713" s="36" t="s">
        <v>8718</v>
      </c>
      <c r="D713" s="9" t="s">
        <v>2552</v>
      </c>
      <c r="E713" s="9" t="s">
        <v>8838</v>
      </c>
      <c r="G713" s="36" t="s">
        <v>15</v>
      </c>
      <c r="H713" s="36" t="str">
        <f>IFERROR(VLOOKUP(Table2[[#This Row], [Ticket]],Okey!A:B,2,0),"")</f>
        <v/>
      </c>
      <c r="K713" s="36" t="s">
        <v>7857</v>
      </c>
      <c r="M713" s="36" t="s">
        <v>8016</v>
      </c>
    </row>
    <row r="714" spans="1:13" hidden="1">
      <c r="A714" s="42">
        <f t="shared" si="11"/>
        <v>713</v>
      </c>
      <c r="B714" s="36" t="s">
        <v>6</v>
      </c>
      <c r="C714" s="36" t="s">
        <v>8718</v>
      </c>
      <c r="D714" s="9" t="s">
        <v>2554</v>
      </c>
      <c r="E714" s="9" t="s">
        <v>8839</v>
      </c>
      <c r="G714" s="36" t="s">
        <v>15</v>
      </c>
      <c r="H714" s="36" t="str">
        <f>IFERROR(VLOOKUP(Table2[[#This Row], [Ticket]],Okey!A:B,2,0),"")</f>
        <v/>
      </c>
      <c r="K714" s="36" t="s">
        <v>7857</v>
      </c>
      <c r="M714" s="36" t="s">
        <v>8016</v>
      </c>
    </row>
    <row r="715" spans="1:13" hidden="1">
      <c r="A715" s="42">
        <f t="shared" si="11"/>
        <v>714</v>
      </c>
      <c r="B715" s="36" t="s">
        <v>6</v>
      </c>
      <c r="C715" s="36" t="s">
        <v>8718</v>
      </c>
      <c r="D715" s="9" t="s">
        <v>4212</v>
      </c>
      <c r="E715" s="9" t="s">
        <v>8840</v>
      </c>
      <c r="F715" s="9" t="s">
        <v>4208</v>
      </c>
      <c r="G715" s="9" t="s">
        <v>16</v>
      </c>
      <c r="H715" s="36" t="str">
        <f>IFERROR(VLOOKUP(Table2[[#This Row], [Ticket]],Okey!A:B,2,0),"")</f>
        <v/>
      </c>
      <c r="K715" s="9" t="s">
        <v>6456</v>
      </c>
      <c r="M715" s="36" t="s">
        <v>8016</v>
      </c>
    </row>
    <row r="716" spans="1:13" hidden="1">
      <c r="A716" s="42">
        <f t="shared" si="11"/>
        <v>715</v>
      </c>
      <c r="B716" s="36" t="s">
        <v>6</v>
      </c>
      <c r="C716" s="36" t="s">
        <v>8718</v>
      </c>
      <c r="D716" s="9" t="s">
        <v>5220</v>
      </c>
      <c r="E716" s="9" t="s">
        <v>8841</v>
      </c>
      <c r="F716" s="9" t="s">
        <v>5350</v>
      </c>
      <c r="G716" s="36" t="s">
        <v>16</v>
      </c>
      <c r="H716" s="36" t="str">
        <f>IFERROR(VLOOKUP(Table2[[#This Row], [Ticket]],Okey!A:B,2,0),"")</f>
        <v/>
      </c>
      <c r="K716" s="36" t="s">
        <v>6456</v>
      </c>
      <c r="M716" s="36" t="s">
        <v>8016</v>
      </c>
    </row>
    <row r="717" spans="1:13" hidden="1">
      <c r="A717" s="42">
        <f t="shared" si="11"/>
        <v>716</v>
      </c>
      <c r="B717" s="36" t="s">
        <v>6</v>
      </c>
      <c r="C717" s="36" t="s">
        <v>8718</v>
      </c>
      <c r="D717" s="9" t="s">
        <v>5327</v>
      </c>
      <c r="E717" s="9" t="s">
        <v>8842</v>
      </c>
      <c r="F717" s="9" t="s">
        <v>5324</v>
      </c>
      <c r="G717" s="36" t="s">
        <v>16</v>
      </c>
      <c r="H717" s="36" t="str">
        <f>IFERROR(VLOOKUP(Table2[[#This Row], [Ticket]],Okey!A:B,2,0),"")</f>
        <v/>
      </c>
      <c r="K717" s="36" t="s">
        <v>6456</v>
      </c>
      <c r="M717" s="36" t="s">
        <v>8016</v>
      </c>
    </row>
    <row r="718" spans="1:13" hidden="1">
      <c r="A718" s="42">
        <f t="shared" si="11"/>
        <v>717</v>
      </c>
      <c r="B718" s="36" t="s">
        <v>6</v>
      </c>
      <c r="C718" s="36" t="s">
        <v>8718</v>
      </c>
      <c r="D718" s="9" t="s">
        <v>5355</v>
      </c>
      <c r="E718" s="9" t="s">
        <v>8843</v>
      </c>
      <c r="F718" s="9" t="s">
        <v>5350</v>
      </c>
      <c r="G718" s="36" t="s">
        <v>16</v>
      </c>
      <c r="H718" s="36" t="str">
        <f>IFERROR(VLOOKUP(Table2[[#This Row], [Ticket]],Okey!A:B,2,0),"")</f>
        <v/>
      </c>
      <c r="K718" s="36" t="s">
        <v>6456</v>
      </c>
      <c r="M718" s="36" t="s">
        <v>8016</v>
      </c>
    </row>
    <row r="719" spans="1:13" hidden="1">
      <c r="A719" s="42">
        <f t="shared" si="11"/>
        <v>718</v>
      </c>
      <c r="B719" s="36" t="s">
        <v>6</v>
      </c>
      <c r="C719" s="36" t="s">
        <v>8718</v>
      </c>
      <c r="D719" s="9" t="s">
        <v>5396</v>
      </c>
      <c r="E719" s="9" t="s">
        <v>8844</v>
      </c>
      <c r="F719" s="9" t="s">
        <v>5395</v>
      </c>
      <c r="G719" s="36" t="s">
        <v>16</v>
      </c>
      <c r="H719" s="36" t="str">
        <f>IFERROR(VLOOKUP(Table2[[#This Row], [Ticket]],Okey!A:B,2,0),"")</f>
        <v/>
      </c>
      <c r="K719" s="36" t="s">
        <v>6456</v>
      </c>
      <c r="M719" s="36" t="s">
        <v>8016</v>
      </c>
    </row>
    <row r="720" spans="1:13" hidden="1">
      <c r="A720" s="42">
        <f t="shared" si="11"/>
        <v>719</v>
      </c>
      <c r="B720" s="36" t="s">
        <v>6</v>
      </c>
      <c r="C720" s="36" t="s">
        <v>8718</v>
      </c>
      <c r="D720" s="9" t="s">
        <v>6434</v>
      </c>
      <c r="E720" s="9" t="s">
        <v>8845</v>
      </c>
      <c r="F720" s="9" t="s">
        <v>4861</v>
      </c>
      <c r="G720" s="36" t="s">
        <v>16</v>
      </c>
      <c r="H720" s="36" t="str">
        <f>IFERROR(VLOOKUP(Table2[[#This Row], [Ticket]],Okey!A:B,2,0),"")</f>
        <v/>
      </c>
      <c r="K720" s="36" t="s">
        <v>6456</v>
      </c>
      <c r="M720" s="36" t="s">
        <v>8016</v>
      </c>
    </row>
    <row r="721" spans="1:13" hidden="1">
      <c r="A721" s="42">
        <f t="shared" si="11"/>
        <v>720</v>
      </c>
      <c r="B721" s="36" t="s">
        <v>6</v>
      </c>
      <c r="C721" s="36" t="s">
        <v>8718</v>
      </c>
      <c r="D721" s="9" t="s">
        <v>6435</v>
      </c>
      <c r="E721" s="9" t="s">
        <v>8846</v>
      </c>
      <c r="F721" s="9" t="s">
        <v>4861</v>
      </c>
      <c r="G721" s="36" t="s">
        <v>16</v>
      </c>
      <c r="H721" s="36" t="str">
        <f>IFERROR(VLOOKUP(Table2[[#This Row], [Ticket]],Okey!A:B,2,0),"")</f>
        <v/>
      </c>
      <c r="K721" s="36" t="s">
        <v>6456</v>
      </c>
      <c r="M721" s="36" t="s">
        <v>8016</v>
      </c>
    </row>
    <row r="722" spans="1:13" hidden="1">
      <c r="A722" s="42">
        <f t="shared" si="11"/>
        <v>721</v>
      </c>
      <c r="B722" s="36" t="s">
        <v>6</v>
      </c>
      <c r="C722" s="36" t="s">
        <v>8718</v>
      </c>
      <c r="D722" s="9" t="s">
        <v>6436</v>
      </c>
      <c r="E722" s="9" t="s">
        <v>8847</v>
      </c>
      <c r="F722" s="9" t="s">
        <v>4861</v>
      </c>
      <c r="G722" s="36" t="s">
        <v>16</v>
      </c>
      <c r="H722" s="36" t="str">
        <f>IFERROR(VLOOKUP(Table2[[#This Row], [Ticket]],Okey!A:B,2,0),"")</f>
        <v/>
      </c>
      <c r="K722" s="36" t="s">
        <v>6456</v>
      </c>
      <c r="M722" s="36" t="s">
        <v>8016</v>
      </c>
    </row>
    <row r="723" spans="1:13" hidden="1">
      <c r="A723" s="42">
        <f t="shared" si="11"/>
        <v>722</v>
      </c>
      <c r="B723" s="36" t="s">
        <v>6</v>
      </c>
      <c r="C723" s="36" t="s">
        <v>8718</v>
      </c>
      <c r="D723" s="9" t="s">
        <v>6437</v>
      </c>
      <c r="E723" s="9" t="s">
        <v>8848</v>
      </c>
      <c r="F723" s="9" t="s">
        <v>4861</v>
      </c>
      <c r="G723" s="36" t="s">
        <v>16</v>
      </c>
      <c r="H723" s="36" t="str">
        <f>IFERROR(VLOOKUP(Table2[[#This Row], [Ticket]],Okey!A:B,2,0),"")</f>
        <v/>
      </c>
      <c r="K723" s="36" t="s">
        <v>6456</v>
      </c>
      <c r="M723" s="36" t="s">
        <v>8016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8718</v>
      </c>
      <c r="D724" s="9" t="s">
        <v>4875</v>
      </c>
      <c r="E724" s="9" t="s">
        <v>8849</v>
      </c>
      <c r="F724" s="9" t="s">
        <v>2688</v>
      </c>
      <c r="G724" s="36" t="s">
        <v>16</v>
      </c>
      <c r="H724" s="36" t="str">
        <f>IFERROR(VLOOKUP(Table2[[#This Row], [Ticket]],Okey!A:B,2,0),"")</f>
        <v/>
      </c>
      <c r="K724" s="36" t="s">
        <v>6456</v>
      </c>
      <c r="M724" s="36" t="s">
        <v>8016</v>
      </c>
    </row>
    <row r="725" spans="1:13" hidden="1">
      <c r="A725" s="42">
        <f t="shared" si="12"/>
        <v>724</v>
      </c>
      <c r="B725" s="36" t="s">
        <v>6</v>
      </c>
      <c r="C725" s="36" t="s">
        <v>8718</v>
      </c>
      <c r="D725" s="9" t="s">
        <v>4877</v>
      </c>
      <c r="E725" s="9" t="s">
        <v>8850</v>
      </c>
      <c r="F725" s="9" t="s">
        <v>2688</v>
      </c>
      <c r="G725" s="36" t="s">
        <v>16</v>
      </c>
      <c r="H725" s="36" t="str">
        <f>IFERROR(VLOOKUP(Table2[[#This Row], [Ticket]],Okey!A:B,2,0),"")</f>
        <v/>
      </c>
      <c r="K725" s="36" t="s">
        <v>6456</v>
      </c>
      <c r="M725" s="36" t="s">
        <v>8016</v>
      </c>
    </row>
    <row r="726" spans="1:13" hidden="1">
      <c r="A726" s="42">
        <f t="shared" si="12"/>
        <v>725</v>
      </c>
      <c r="B726" s="36" t="s">
        <v>6</v>
      </c>
      <c r="C726" s="36" t="s">
        <v>8718</v>
      </c>
      <c r="D726" s="9" t="s">
        <v>4879</v>
      </c>
      <c r="E726" s="9" t="s">
        <v>8851</v>
      </c>
      <c r="F726" s="9" t="s">
        <v>2688</v>
      </c>
      <c r="G726" s="36" t="s">
        <v>16</v>
      </c>
      <c r="H726" s="36" t="str">
        <f>IFERROR(VLOOKUP(Table2[[#This Row], [Ticket]],Okey!A:B,2,0),"")</f>
        <v/>
      </c>
      <c r="K726" s="36" t="s">
        <v>6456</v>
      </c>
      <c r="M726" s="36" t="s">
        <v>8016</v>
      </c>
    </row>
    <row r="727" spans="1:13" hidden="1">
      <c r="A727" s="42">
        <f t="shared" si="12"/>
        <v>726</v>
      </c>
      <c r="B727" s="36" t="s">
        <v>6</v>
      </c>
      <c r="C727" s="36" t="s">
        <v>8718</v>
      </c>
      <c r="D727" s="9" t="s">
        <v>4921</v>
      </c>
      <c r="E727" s="9" t="s">
        <v>8852</v>
      </c>
      <c r="F727" s="9" t="s">
        <v>4861</v>
      </c>
      <c r="G727" s="36" t="s">
        <v>16</v>
      </c>
      <c r="H727" s="36" t="str">
        <f>IFERROR(VLOOKUP(Table2[[#This Row], [Ticket]],Okey!A:B,2,0),"")</f>
        <v/>
      </c>
      <c r="K727" s="36" t="s">
        <v>6456</v>
      </c>
      <c r="M727" s="36" t="s">
        <v>8016</v>
      </c>
    </row>
    <row r="728" spans="1:13" hidden="1">
      <c r="A728" s="42">
        <f t="shared" si="12"/>
        <v>727</v>
      </c>
      <c r="B728" s="36" t="s">
        <v>6</v>
      </c>
      <c r="C728" s="36" t="s">
        <v>8718</v>
      </c>
      <c r="D728" s="9" t="s">
        <v>4922</v>
      </c>
      <c r="E728" s="9" t="s">
        <v>8853</v>
      </c>
      <c r="F728" s="9" t="s">
        <v>4861</v>
      </c>
      <c r="G728" s="36" t="s">
        <v>16</v>
      </c>
      <c r="H728" s="36" t="str">
        <f>IFERROR(VLOOKUP(Table2[[#This Row], [Ticket]],Okey!A:B,2,0),"")</f>
        <v/>
      </c>
      <c r="K728" s="36" t="s">
        <v>6456</v>
      </c>
      <c r="M728" s="36" t="s">
        <v>8016</v>
      </c>
    </row>
    <row r="729" spans="1:13" hidden="1">
      <c r="A729" s="42">
        <f t="shared" si="12"/>
        <v>728</v>
      </c>
      <c r="B729" s="36" t="s">
        <v>6</v>
      </c>
      <c r="C729" s="36" t="s">
        <v>8718</v>
      </c>
      <c r="D729" s="9" t="s">
        <v>4923</v>
      </c>
      <c r="E729" s="9" t="s">
        <v>8854</v>
      </c>
      <c r="F729" s="9" t="s">
        <v>2688</v>
      </c>
      <c r="G729" s="36" t="s">
        <v>16</v>
      </c>
      <c r="H729" s="36" t="str">
        <f>IFERROR(VLOOKUP(Table2[[#This Row], [Ticket]],Okey!A:B,2,0),"")</f>
        <v/>
      </c>
      <c r="K729" s="36" t="s">
        <v>6456</v>
      </c>
      <c r="M729" s="36" t="s">
        <v>8016</v>
      </c>
    </row>
    <row r="730" spans="1:13" hidden="1">
      <c r="A730" s="42">
        <f t="shared" si="12"/>
        <v>729</v>
      </c>
      <c r="B730" s="36" t="s">
        <v>6</v>
      </c>
      <c r="C730" s="36" t="s">
        <v>8718</v>
      </c>
      <c r="D730" s="9" t="s">
        <v>4882</v>
      </c>
      <c r="E730" s="9" t="s">
        <v>8855</v>
      </c>
      <c r="F730" s="9" t="s">
        <v>4923</v>
      </c>
      <c r="G730" s="36" t="s">
        <v>16</v>
      </c>
      <c r="H730" s="36" t="str">
        <f>IFERROR(VLOOKUP(Table2[[#This Row], [Ticket]],Okey!A:B,2,0),"")</f>
        <v/>
      </c>
      <c r="K730" s="36" t="s">
        <v>6456</v>
      </c>
      <c r="M730" s="36" t="s">
        <v>8016</v>
      </c>
    </row>
    <row r="731" spans="1:13" hidden="1">
      <c r="A731" s="42">
        <f t="shared" si="12"/>
        <v>730</v>
      </c>
      <c r="B731" s="36" t="s">
        <v>6</v>
      </c>
      <c r="C731" s="36" t="s">
        <v>8718</v>
      </c>
      <c r="D731" s="9" t="s">
        <v>4924</v>
      </c>
      <c r="E731" s="9" t="s">
        <v>8856</v>
      </c>
      <c r="F731" s="9" t="s">
        <v>4923</v>
      </c>
      <c r="G731" s="36" t="s">
        <v>16</v>
      </c>
      <c r="H731" s="36" t="str">
        <f>IFERROR(VLOOKUP(Table2[[#This Row], [Ticket]],Okey!A:B,2,0),"")</f>
        <v/>
      </c>
      <c r="K731" s="36" t="s">
        <v>6456</v>
      </c>
      <c r="M731" s="36" t="s">
        <v>8016</v>
      </c>
    </row>
    <row r="732" spans="1:13" hidden="1">
      <c r="A732" s="42">
        <f t="shared" si="12"/>
        <v>731</v>
      </c>
      <c r="B732" s="36" t="s">
        <v>6</v>
      </c>
      <c r="C732" s="36" t="s">
        <v>8718</v>
      </c>
      <c r="D732" s="9" t="s">
        <v>4925</v>
      </c>
      <c r="E732" s="9" t="s">
        <v>8857</v>
      </c>
      <c r="F732" s="9" t="s">
        <v>2688</v>
      </c>
      <c r="G732" s="36" t="s">
        <v>16</v>
      </c>
      <c r="H732" s="36" t="str">
        <f>IFERROR(VLOOKUP(Table2[[#This Row], [Ticket]],Okey!A:B,2,0),"")</f>
        <v/>
      </c>
      <c r="K732" s="36" t="s">
        <v>6456</v>
      </c>
      <c r="M732" s="36" t="s">
        <v>8016</v>
      </c>
    </row>
    <row r="733" spans="1:13" hidden="1">
      <c r="A733" s="42">
        <f t="shared" si="12"/>
        <v>732</v>
      </c>
      <c r="B733" s="36" t="s">
        <v>6</v>
      </c>
      <c r="C733" s="36" t="s">
        <v>8718</v>
      </c>
      <c r="D733" s="9" t="s">
        <v>2144</v>
      </c>
      <c r="E733" s="9" t="s">
        <v>8858</v>
      </c>
      <c r="F733" s="9" t="s">
        <v>2142</v>
      </c>
      <c r="G733" s="36" t="s">
        <v>16</v>
      </c>
      <c r="H733" s="36" t="str">
        <f>IFERROR(VLOOKUP(Table2[[#This Row], [Ticket]],Okey!A:B,2,0),"")</f>
        <v/>
      </c>
      <c r="K733" s="36" t="s">
        <v>6456</v>
      </c>
      <c r="M733" s="36" t="s">
        <v>8016</v>
      </c>
    </row>
    <row r="734" spans="1:13" hidden="1">
      <c r="A734" s="42">
        <f t="shared" si="12"/>
        <v>733</v>
      </c>
      <c r="B734" s="36" t="s">
        <v>6</v>
      </c>
      <c r="C734" s="36" t="s">
        <v>8718</v>
      </c>
      <c r="D734" s="9" t="s">
        <v>3190</v>
      </c>
      <c r="E734" s="9" t="s">
        <v>8859</v>
      </c>
      <c r="F734" s="9" t="s">
        <v>2195</v>
      </c>
      <c r="G734" s="36" t="s">
        <v>16</v>
      </c>
      <c r="H734" s="36" t="str">
        <f>IFERROR(VLOOKUP(Table2[[#This Row], [Ticket]],Okey!A:B,2,0),"")</f>
        <v/>
      </c>
      <c r="K734" s="36" t="s">
        <v>6456</v>
      </c>
      <c r="M734" s="36" t="s">
        <v>8016</v>
      </c>
    </row>
    <row r="735" spans="1:13" hidden="1">
      <c r="A735" s="42">
        <f t="shared" si="12"/>
        <v>734</v>
      </c>
      <c r="B735" s="36" t="s">
        <v>6</v>
      </c>
      <c r="C735" s="36" t="s">
        <v>8718</v>
      </c>
      <c r="D735" s="9" t="s">
        <v>2197</v>
      </c>
      <c r="E735" s="9" t="s">
        <v>8860</v>
      </c>
      <c r="F735" s="9" t="s">
        <v>2190</v>
      </c>
      <c r="G735" s="36" t="s">
        <v>16</v>
      </c>
      <c r="H735" s="36" t="str">
        <f>IFERROR(VLOOKUP(Table2[[#This Row], [Ticket]],Okey!A:B,2,0),"")</f>
        <v/>
      </c>
      <c r="K735" s="36" t="s">
        <v>6456</v>
      </c>
      <c r="M735" s="36" t="s">
        <v>8016</v>
      </c>
    </row>
    <row r="736" spans="1:13" hidden="1">
      <c r="A736" s="42">
        <f t="shared" si="12"/>
        <v>735</v>
      </c>
      <c r="B736" s="36" t="s">
        <v>6</v>
      </c>
      <c r="C736" s="36" t="s">
        <v>8718</v>
      </c>
      <c r="D736" s="9" t="s">
        <v>2201</v>
      </c>
      <c r="E736" s="9" t="s">
        <v>8861</v>
      </c>
      <c r="F736" s="9" t="s">
        <v>8052</v>
      </c>
      <c r="G736" s="36" t="s">
        <v>16</v>
      </c>
      <c r="H736" s="36" t="str">
        <f>IFERROR(VLOOKUP(Table2[[#This Row], [Ticket]],Okey!A:B,2,0),"")</f>
        <v/>
      </c>
      <c r="K736" s="36" t="s">
        <v>6456</v>
      </c>
      <c r="M736" s="36" t="s">
        <v>8016</v>
      </c>
    </row>
    <row r="737" spans="1:13" hidden="1">
      <c r="A737" s="42">
        <f t="shared" si="12"/>
        <v>736</v>
      </c>
      <c r="B737" s="36" t="s">
        <v>6</v>
      </c>
      <c r="C737" s="36" t="s">
        <v>8718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/>
      </c>
      <c r="K737" s="36" t="s">
        <v>6456</v>
      </c>
      <c r="M737" s="36" t="s">
        <v>8016</v>
      </c>
    </row>
    <row r="738" spans="1:13" hidden="1">
      <c r="A738" s="42">
        <f t="shared" si="12"/>
        <v>737</v>
      </c>
      <c r="B738" s="36" t="s">
        <v>6</v>
      </c>
      <c r="C738" s="36" t="s">
        <v>8718</v>
      </c>
      <c r="D738" s="9" t="s">
        <v>2676</v>
      </c>
      <c r="F738" s="9" t="s">
        <v>8031</v>
      </c>
      <c r="G738" s="36" t="s">
        <v>13</v>
      </c>
      <c r="H738" s="36" t="str">
        <f>IFERROR(VLOOKUP(Table2[[#This Row], [Ticket]],Okey!A:B,2,0),"")</f>
        <v/>
      </c>
      <c r="K738" s="36" t="s">
        <v>6456</v>
      </c>
      <c r="M738" s="36" t="s">
        <v>8016</v>
      </c>
    </row>
    <row r="739" spans="1:13" hidden="1">
      <c r="A739" s="42">
        <f t="shared" si="12"/>
        <v>738</v>
      </c>
      <c r="B739" s="36" t="s">
        <v>6</v>
      </c>
      <c r="C739" s="36" t="s">
        <v>8718</v>
      </c>
      <c r="D739" s="9" t="s">
        <v>8862</v>
      </c>
      <c r="F739" s="9" t="s">
        <v>4626</v>
      </c>
      <c r="G739" s="36" t="s">
        <v>13</v>
      </c>
      <c r="H739" s="36" t="str">
        <f>IFERROR(VLOOKUP(Table2[[#This Row], [Ticket]],Okey!A:B,2,0),"")</f>
        <v/>
      </c>
      <c r="K739" s="36" t="s">
        <v>6456</v>
      </c>
      <c r="M739" s="36" t="s">
        <v>8016</v>
      </c>
    </row>
    <row r="740" spans="1:13" hidden="1">
      <c r="A740" s="42">
        <f t="shared" si="12"/>
        <v>739</v>
      </c>
      <c r="B740" s="36" t="s">
        <v>6</v>
      </c>
      <c r="C740" s="36" t="s">
        <v>8718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/>
      </c>
      <c r="K740" s="36" t="s">
        <v>6456</v>
      </c>
      <c r="M740" s="36" t="s">
        <v>8016</v>
      </c>
    </row>
    <row r="741" spans="1:13" hidden="1">
      <c r="A741" s="42">
        <f t="shared" si="12"/>
        <v>740</v>
      </c>
      <c r="B741" s="36" t="s">
        <v>6</v>
      </c>
      <c r="C741" s="36" t="s">
        <v>8718</v>
      </c>
      <c r="D741" s="9" t="s">
        <v>8863</v>
      </c>
      <c r="F741" s="9" t="s">
        <v>4626</v>
      </c>
      <c r="G741" s="36" t="s">
        <v>13</v>
      </c>
      <c r="H741" s="36" t="str">
        <f>IFERROR(VLOOKUP(Table2[[#This Row], [Ticket]],Okey!A:B,2,0),"")</f>
        <v/>
      </c>
      <c r="K741" s="36" t="s">
        <v>6456</v>
      </c>
      <c r="M741" s="36" t="s">
        <v>8016</v>
      </c>
    </row>
    <row r="742" spans="1:13" hidden="1">
      <c r="A742" s="42">
        <f t="shared" si="12"/>
        <v>741</v>
      </c>
      <c r="B742" s="36" t="s">
        <v>6</v>
      </c>
      <c r="C742" s="36" t="s">
        <v>8718</v>
      </c>
      <c r="D742" s="9" t="s">
        <v>2100</v>
      </c>
      <c r="F742" s="9" t="s">
        <v>8017</v>
      </c>
      <c r="G742" s="36" t="s">
        <v>13</v>
      </c>
      <c r="H742" s="36" t="str">
        <f>IFERROR(VLOOKUP(Table2[[#This Row], [Ticket]],Okey!A:B,2,0),"")</f>
        <v/>
      </c>
      <c r="K742" s="36" t="s">
        <v>6456</v>
      </c>
      <c r="M742" s="36" t="s">
        <v>8016</v>
      </c>
    </row>
    <row r="743" spans="1:13" hidden="1">
      <c r="A743" s="42">
        <f t="shared" si="12"/>
        <v>742</v>
      </c>
      <c r="B743" s="36" t="s">
        <v>6</v>
      </c>
      <c r="C743" s="36" t="s">
        <v>8718</v>
      </c>
      <c r="D743" s="9" t="s">
        <v>8039</v>
      </c>
      <c r="F743" s="9" t="s">
        <v>8038</v>
      </c>
      <c r="G743" s="36" t="s">
        <v>13</v>
      </c>
      <c r="H743" s="36" t="str">
        <f>IFERROR(VLOOKUP(Table2[[#This Row], [Ticket]],Okey!A:B,2,0),"")</f>
        <v/>
      </c>
      <c r="K743" s="36" t="s">
        <v>6456</v>
      </c>
      <c r="M743" s="36" t="s">
        <v>8016</v>
      </c>
    </row>
    <row r="744" spans="1:13" hidden="1">
      <c r="A744" s="42">
        <f t="shared" si="12"/>
        <v>743</v>
      </c>
      <c r="B744" s="36" t="s">
        <v>6</v>
      </c>
      <c r="C744" s="36" t="s">
        <v>8718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/>
      </c>
      <c r="K744" s="36" t="s">
        <v>6456</v>
      </c>
      <c r="M744" s="36" t="s">
        <v>8016</v>
      </c>
    </row>
    <row r="745" spans="1:13" hidden="1">
      <c r="A745" s="42">
        <f t="shared" si="12"/>
        <v>744</v>
      </c>
      <c r="B745" s="36" t="s">
        <v>6</v>
      </c>
      <c r="C745" s="36" t="s">
        <v>8718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/>
      </c>
      <c r="K745" s="36" t="s">
        <v>6456</v>
      </c>
      <c r="M745" s="36" t="s">
        <v>8016</v>
      </c>
    </row>
    <row r="746" spans="1:13" hidden="1">
      <c r="A746" s="42">
        <f t="shared" si="12"/>
        <v>745</v>
      </c>
      <c r="B746" s="36" t="s">
        <v>6</v>
      </c>
      <c r="C746" s="36" t="s">
        <v>8718</v>
      </c>
      <c r="D746" s="9" t="s">
        <v>2142</v>
      </c>
      <c r="F746" s="9" t="s">
        <v>8785</v>
      </c>
      <c r="G746" s="36" t="s">
        <v>13</v>
      </c>
      <c r="H746" s="36" t="str">
        <f>IFERROR(VLOOKUP(Table2[[#This Row], [Ticket]],Okey!A:B,2,0),"")</f>
        <v/>
      </c>
      <c r="K746" s="36" t="s">
        <v>6456</v>
      </c>
      <c r="M746" s="36" t="s">
        <v>8016</v>
      </c>
    </row>
    <row r="747" spans="1:13" hidden="1">
      <c r="A747" s="42">
        <f t="shared" si="12"/>
        <v>746</v>
      </c>
      <c r="B747" s="36" t="s">
        <v>6</v>
      </c>
      <c r="C747" s="36" t="s">
        <v>8718</v>
      </c>
      <c r="D747" s="9" t="s">
        <v>2190</v>
      </c>
      <c r="F747" s="9" t="s">
        <v>8052</v>
      </c>
      <c r="G747" s="36" t="s">
        <v>13</v>
      </c>
      <c r="H747" s="36" t="str">
        <f>IFERROR(VLOOKUP(Table2[[#This Row], [Ticket]],Okey!A:B,2,0),"")</f>
        <v/>
      </c>
      <c r="K747" s="36" t="s">
        <v>6456</v>
      </c>
      <c r="M747" s="36" t="s">
        <v>8016</v>
      </c>
    </row>
    <row r="748" spans="1:13" hidden="1">
      <c r="A748" s="42">
        <f t="shared" si="12"/>
        <v>747</v>
      </c>
      <c r="B748" s="36" t="s">
        <v>6</v>
      </c>
      <c r="C748" s="36" t="s">
        <v>8718</v>
      </c>
      <c r="D748" s="9" t="s">
        <v>2195</v>
      </c>
      <c r="F748" s="9" t="s">
        <v>8052</v>
      </c>
      <c r="G748" s="36" t="s">
        <v>13</v>
      </c>
      <c r="H748" s="36" t="str">
        <f>IFERROR(VLOOKUP(Table2[[#This Row], [Ticket]],Okey!A:B,2,0),"")</f>
        <v/>
      </c>
      <c r="K748" s="36" t="s">
        <v>6456</v>
      </c>
      <c r="M748" s="36" t="s">
        <v>8016</v>
      </c>
    </row>
    <row r="749" spans="1:13" hidden="1">
      <c r="A749" s="42">
        <f t="shared" si="12"/>
        <v>748</v>
      </c>
      <c r="B749" s="36" t="s">
        <v>6</v>
      </c>
      <c r="C749" s="36" t="s">
        <v>8718</v>
      </c>
      <c r="D749" s="9" t="s">
        <v>2199</v>
      </c>
      <c r="F749" s="9" t="s">
        <v>8052</v>
      </c>
      <c r="G749" s="36" t="s">
        <v>13</v>
      </c>
      <c r="H749" s="36" t="str">
        <f>IFERROR(VLOOKUP(Table2[[#This Row], [Ticket]],Okey!A:B,2,0),"")</f>
        <v/>
      </c>
      <c r="K749" s="36" t="s">
        <v>6456</v>
      </c>
      <c r="M749" s="36" t="s">
        <v>8016</v>
      </c>
    </row>
    <row r="750" spans="1:13" hidden="1">
      <c r="A750" s="42">
        <f t="shared" si="12"/>
        <v>749</v>
      </c>
      <c r="B750" s="36" t="s">
        <v>6</v>
      </c>
      <c r="C750" s="36" t="s">
        <v>8718</v>
      </c>
      <c r="D750" s="9" t="s">
        <v>2203</v>
      </c>
      <c r="F750" s="9" t="s">
        <v>8052</v>
      </c>
      <c r="G750" s="36" t="s">
        <v>13</v>
      </c>
      <c r="H750" s="36" t="str">
        <f>IFERROR(VLOOKUP(Table2[[#This Row], [Ticket]],Okey!A:B,2,0),"")</f>
        <v/>
      </c>
      <c r="K750" s="36" t="s">
        <v>6456</v>
      </c>
      <c r="M750" s="36" t="s">
        <v>8016</v>
      </c>
    </row>
    <row r="751" spans="1:13" hidden="1">
      <c r="A751" s="42">
        <f t="shared" si="12"/>
        <v>750</v>
      </c>
      <c r="B751" s="36" t="s">
        <v>6</v>
      </c>
      <c r="C751" s="36" t="s">
        <v>8718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/>
      </c>
      <c r="K751" s="36" t="s">
        <v>6456</v>
      </c>
      <c r="M751" s="36" t="s">
        <v>8016</v>
      </c>
    </row>
    <row r="752" spans="1:13" hidden="1">
      <c r="A752" s="42">
        <f t="shared" si="12"/>
        <v>751</v>
      </c>
      <c r="B752" s="36" t="s">
        <v>6</v>
      </c>
      <c r="C752" s="36" t="s">
        <v>8718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/>
      </c>
      <c r="K752" s="36" t="s">
        <v>6456</v>
      </c>
      <c r="M752" s="36" t="s">
        <v>8016</v>
      </c>
    </row>
    <row r="753" spans="1:13" hidden="1">
      <c r="A753" s="42">
        <f t="shared" si="12"/>
        <v>752</v>
      </c>
      <c r="B753" s="36" t="s">
        <v>6</v>
      </c>
      <c r="C753" s="36" t="s">
        <v>8718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/>
      </c>
      <c r="K753" s="36" t="s">
        <v>6456</v>
      </c>
      <c r="M753" s="36" t="s">
        <v>8016</v>
      </c>
    </row>
    <row r="754" spans="1:13" hidden="1">
      <c r="A754" s="42">
        <f t="shared" si="12"/>
        <v>753</v>
      </c>
      <c r="B754" s="36" t="s">
        <v>6</v>
      </c>
      <c r="C754" s="36" t="s">
        <v>8718</v>
      </c>
      <c r="D754" s="9" t="s">
        <v>8864</v>
      </c>
      <c r="F754" s="9" t="s">
        <v>2482</v>
      </c>
      <c r="G754" s="36" t="s">
        <v>13</v>
      </c>
      <c r="H754" s="36" t="str">
        <f>IFERROR(VLOOKUP(Table2[[#This Row], [Ticket]],Okey!A:B,2,0),"")</f>
        <v/>
      </c>
      <c r="K754" s="36" t="s">
        <v>6456</v>
      </c>
      <c r="M754" s="36" t="s">
        <v>8016</v>
      </c>
    </row>
    <row r="755" spans="1:13" hidden="1">
      <c r="A755" s="42">
        <f t="shared" si="12"/>
        <v>754</v>
      </c>
      <c r="B755" s="36" t="s">
        <v>6</v>
      </c>
      <c r="C755" s="36" t="s">
        <v>8718</v>
      </c>
      <c r="D755" s="9" t="s">
        <v>8865</v>
      </c>
      <c r="F755" s="9" t="s">
        <v>2509</v>
      </c>
      <c r="G755" s="36" t="s">
        <v>13</v>
      </c>
      <c r="H755" s="36" t="str">
        <f>IFERROR(VLOOKUP(Table2[[#This Row], [Ticket]],Okey!A:B,2,0),"")</f>
        <v/>
      </c>
      <c r="K755" s="36" t="s">
        <v>6456</v>
      </c>
      <c r="M755" s="36" t="s">
        <v>8016</v>
      </c>
    </row>
    <row r="756" spans="1:13" hidden="1">
      <c r="A756" s="42">
        <f t="shared" si="12"/>
        <v>755</v>
      </c>
      <c r="B756" s="36" t="s">
        <v>6</v>
      </c>
      <c r="C756" s="36" t="s">
        <v>8718</v>
      </c>
      <c r="D756" s="9" t="s">
        <v>8866</v>
      </c>
      <c r="F756" s="9" t="s">
        <v>2454</v>
      </c>
      <c r="G756" s="36" t="s">
        <v>13</v>
      </c>
      <c r="H756" s="36" t="str">
        <f>IFERROR(VLOOKUP(Table2[[#This Row], [Ticket]],Okey!A:B,2,0),"")</f>
        <v/>
      </c>
      <c r="K756" s="36" t="s">
        <v>6456</v>
      </c>
      <c r="M756" s="36" t="s">
        <v>8016</v>
      </c>
    </row>
    <row r="757" spans="1:13" hidden="1">
      <c r="A757" s="42">
        <f t="shared" si="12"/>
        <v>756</v>
      </c>
      <c r="B757" s="36" t="s">
        <v>6</v>
      </c>
      <c r="C757" s="36" t="s">
        <v>8718</v>
      </c>
      <c r="D757" s="9" t="s">
        <v>2446</v>
      </c>
      <c r="F757" s="9" t="s">
        <v>8047</v>
      </c>
      <c r="G757" s="36" t="s">
        <v>13</v>
      </c>
      <c r="H757" s="36" t="str">
        <f>IFERROR(VLOOKUP(Table2[[#This Row], [Ticket]],Okey!A:B,2,0),"")</f>
        <v/>
      </c>
      <c r="K757" s="36" t="s">
        <v>6456</v>
      </c>
      <c r="M757" s="36" t="s">
        <v>8016</v>
      </c>
    </row>
    <row r="758" spans="1:13" hidden="1">
      <c r="A758" s="42">
        <f t="shared" si="12"/>
        <v>757</v>
      </c>
      <c r="B758" s="36" t="s">
        <v>6</v>
      </c>
      <c r="C758" s="36" t="s">
        <v>8718</v>
      </c>
      <c r="D758" s="9" t="s">
        <v>2456</v>
      </c>
      <c r="F758" s="9" t="s">
        <v>8047</v>
      </c>
      <c r="G758" s="36" t="s">
        <v>13</v>
      </c>
      <c r="H758" s="36" t="str">
        <f>IFERROR(VLOOKUP(Table2[[#This Row], [Ticket]],Okey!A:B,2,0),"")</f>
        <v/>
      </c>
      <c r="K758" s="36" t="s">
        <v>6456</v>
      </c>
      <c r="M758" s="36" t="s">
        <v>8016</v>
      </c>
    </row>
    <row r="759" spans="1:13" hidden="1">
      <c r="A759" s="42">
        <f t="shared" si="12"/>
        <v>758</v>
      </c>
      <c r="B759" s="36" t="s">
        <v>6</v>
      </c>
      <c r="C759" s="36" t="s">
        <v>8718</v>
      </c>
      <c r="D759" s="9" t="s">
        <v>2501</v>
      </c>
      <c r="F759" s="9" t="s">
        <v>8047</v>
      </c>
      <c r="G759" s="36" t="s">
        <v>13</v>
      </c>
      <c r="H759" s="36" t="str">
        <f>IFERROR(VLOOKUP(Table2[[#This Row], [Ticket]],Okey!A:B,2,0),"")</f>
        <v/>
      </c>
      <c r="K759" s="36" t="s">
        <v>6456</v>
      </c>
      <c r="M759" s="36" t="s">
        <v>8016</v>
      </c>
    </row>
    <row r="760" spans="1:13" hidden="1">
      <c r="A760" s="42">
        <f t="shared" si="12"/>
        <v>759</v>
      </c>
      <c r="B760" s="36" t="s">
        <v>6</v>
      </c>
      <c r="C760" s="36" t="s">
        <v>8718</v>
      </c>
      <c r="D760" s="9" t="s">
        <v>2474</v>
      </c>
      <c r="F760" s="9" t="s">
        <v>8047</v>
      </c>
      <c r="G760" s="36" t="s">
        <v>13</v>
      </c>
      <c r="H760" s="36" t="str">
        <f>IFERROR(VLOOKUP(Table2[[#This Row], [Ticket]],Okey!A:B,2,0),"")</f>
        <v/>
      </c>
      <c r="K760" s="36" t="s">
        <v>6456</v>
      </c>
      <c r="M760" s="36" t="s">
        <v>8016</v>
      </c>
    </row>
    <row r="761" spans="1:13" hidden="1">
      <c r="A761" s="42">
        <f t="shared" si="12"/>
        <v>760</v>
      </c>
      <c r="B761" s="36" t="s">
        <v>6</v>
      </c>
      <c r="C761" s="36" t="s">
        <v>8718</v>
      </c>
      <c r="D761" s="9" t="s">
        <v>2484</v>
      </c>
      <c r="F761" s="9" t="s">
        <v>8047</v>
      </c>
      <c r="G761" s="36" t="s">
        <v>13</v>
      </c>
      <c r="H761" s="36" t="str">
        <f>IFERROR(VLOOKUP(Table2[[#This Row], [Ticket]],Okey!A:B,2,0),"")</f>
        <v/>
      </c>
      <c r="K761" s="36" t="s">
        <v>6456</v>
      </c>
      <c r="M761" s="36" t="s">
        <v>8016</v>
      </c>
    </row>
    <row r="762" spans="1:13" hidden="1">
      <c r="A762" s="42">
        <f t="shared" si="12"/>
        <v>761</v>
      </c>
      <c r="B762" s="36" t="s">
        <v>6</v>
      </c>
      <c r="C762" s="36" t="s">
        <v>8718</v>
      </c>
      <c r="D762" s="9" t="s">
        <v>2168</v>
      </c>
      <c r="F762" s="36" t="s">
        <v>275</v>
      </c>
      <c r="G762" s="9" t="s">
        <v>8552</v>
      </c>
      <c r="H762" s="36" t="str">
        <f>IFERROR(VLOOKUP(Table2[[#This Row], [Ticket]],Okey!A:B,2,0),"")</f>
        <v/>
      </c>
      <c r="I762" s="9" t="s">
        <v>7975</v>
      </c>
      <c r="M762" s="36" t="s">
        <v>8016</v>
      </c>
    </row>
    <row r="763" spans="1:13" hidden="1">
      <c r="A763" s="42">
        <f t="shared" si="12"/>
        <v>762</v>
      </c>
      <c r="B763" s="36" t="s">
        <v>6</v>
      </c>
      <c r="C763" s="36" t="s">
        <v>8718</v>
      </c>
      <c r="D763" s="9" t="s">
        <v>2018</v>
      </c>
      <c r="F763" s="36" t="s">
        <v>275</v>
      </c>
      <c r="G763" s="36" t="s">
        <v>8552</v>
      </c>
      <c r="H763" s="36" t="str">
        <f>IFERROR(VLOOKUP(Table2[[#This Row], [Ticket]],Okey!A:B,2,0),"")</f>
        <v/>
      </c>
      <c r="I763" s="36" t="s">
        <v>7975</v>
      </c>
      <c r="M763" s="36" t="s">
        <v>8016</v>
      </c>
    </row>
    <row r="764" spans="1:13" hidden="1">
      <c r="A764" s="42">
        <f t="shared" si="12"/>
        <v>763</v>
      </c>
      <c r="B764" s="36" t="s">
        <v>6</v>
      </c>
      <c r="C764" s="36" t="s">
        <v>8718</v>
      </c>
      <c r="D764" s="9" t="s">
        <v>2766</v>
      </c>
      <c r="F764" s="36" t="s">
        <v>275</v>
      </c>
      <c r="G764" s="36" t="s">
        <v>8552</v>
      </c>
      <c r="H764" s="36" t="str">
        <f>IFERROR(VLOOKUP(Table2[[#This Row], [Ticket]],Okey!A:B,2,0),"")</f>
        <v/>
      </c>
      <c r="I764" s="36" t="s">
        <v>7975</v>
      </c>
      <c r="M764" s="36" t="s">
        <v>8016</v>
      </c>
    </row>
    <row r="765" spans="1:13" hidden="1">
      <c r="A765" s="42">
        <f t="shared" si="12"/>
        <v>764</v>
      </c>
      <c r="B765" s="36" t="s">
        <v>6</v>
      </c>
      <c r="C765" s="36" t="s">
        <v>8718</v>
      </c>
      <c r="D765" s="9" t="s">
        <v>2768</v>
      </c>
      <c r="F765" s="36" t="s">
        <v>275</v>
      </c>
      <c r="G765" s="36" t="s">
        <v>8552</v>
      </c>
      <c r="H765" s="36" t="str">
        <f>IFERROR(VLOOKUP(Table2[[#This Row], [Ticket]],Okey!A:B,2,0),"")</f>
        <v/>
      </c>
      <c r="I765" s="36" t="s">
        <v>7975</v>
      </c>
      <c r="M765" s="36" t="s">
        <v>8016</v>
      </c>
    </row>
    <row r="766" spans="1:13" hidden="1">
      <c r="A766" s="42">
        <f t="shared" si="12"/>
        <v>765</v>
      </c>
      <c r="B766" s="36" t="s">
        <v>6</v>
      </c>
      <c r="C766" s="36" t="s">
        <v>8718</v>
      </c>
      <c r="D766" s="9" t="s">
        <v>2770</v>
      </c>
      <c r="F766" s="36" t="s">
        <v>275</v>
      </c>
      <c r="G766" s="36" t="s">
        <v>8552</v>
      </c>
      <c r="H766" s="36" t="str">
        <f>IFERROR(VLOOKUP(Table2[[#This Row], [Ticket]],Okey!A:B,2,0),"")</f>
        <v/>
      </c>
      <c r="I766" s="36" t="s">
        <v>7975</v>
      </c>
      <c r="M766" s="36" t="s">
        <v>8016</v>
      </c>
    </row>
    <row r="767" spans="1:13" hidden="1">
      <c r="A767" s="42">
        <f t="shared" si="12"/>
        <v>766</v>
      </c>
      <c r="B767" s="36" t="s">
        <v>6</v>
      </c>
      <c r="C767" s="36" t="s">
        <v>8718</v>
      </c>
      <c r="D767" s="9" t="s">
        <v>2772</v>
      </c>
      <c r="F767" s="36" t="s">
        <v>275</v>
      </c>
      <c r="G767" s="36" t="s">
        <v>8552</v>
      </c>
      <c r="H767" s="36" t="str">
        <f>IFERROR(VLOOKUP(Table2[[#This Row], [Ticket]],Okey!A:B,2,0),"")</f>
        <v/>
      </c>
      <c r="I767" s="36" t="s">
        <v>7975</v>
      </c>
      <c r="M767" s="36" t="s">
        <v>8016</v>
      </c>
    </row>
    <row r="768" spans="1:13" hidden="1">
      <c r="A768" s="42">
        <f t="shared" si="12"/>
        <v>767</v>
      </c>
      <c r="B768" s="36" t="s">
        <v>6</v>
      </c>
      <c r="C768" s="36" t="s">
        <v>8718</v>
      </c>
      <c r="D768" s="9" t="s">
        <v>2774</v>
      </c>
      <c r="F768" s="36" t="s">
        <v>275</v>
      </c>
      <c r="G768" s="36" t="s">
        <v>8552</v>
      </c>
      <c r="H768" s="36" t="str">
        <f>IFERROR(VLOOKUP(Table2[[#This Row], [Ticket]],Okey!A:B,2,0),"")</f>
        <v/>
      </c>
      <c r="I768" s="36" t="s">
        <v>7975</v>
      </c>
      <c r="M768" s="36" t="s">
        <v>8016</v>
      </c>
    </row>
    <row r="769" spans="1:13" hidden="1">
      <c r="A769" s="42">
        <f t="shared" si="12"/>
        <v>768</v>
      </c>
      <c r="B769" s="36" t="s">
        <v>6</v>
      </c>
      <c r="C769" s="36" t="s">
        <v>8718</v>
      </c>
      <c r="D769" s="9" t="s">
        <v>2776</v>
      </c>
      <c r="F769" s="36" t="s">
        <v>275</v>
      </c>
      <c r="G769" s="36" t="s">
        <v>8552</v>
      </c>
      <c r="H769" s="36" t="str">
        <f>IFERROR(VLOOKUP(Table2[[#This Row], [Ticket]],Okey!A:B,2,0),"")</f>
        <v/>
      </c>
      <c r="I769" s="36" t="s">
        <v>7975</v>
      </c>
      <c r="M769" s="36" t="s">
        <v>8016</v>
      </c>
    </row>
    <row r="770" spans="1:13" hidden="1">
      <c r="A770" s="42">
        <f t="shared" si="12"/>
        <v>769</v>
      </c>
      <c r="B770" s="36" t="s">
        <v>6</v>
      </c>
      <c r="C770" s="36" t="s">
        <v>8718</v>
      </c>
      <c r="D770" s="9" t="s">
        <v>2778</v>
      </c>
      <c r="F770" s="36" t="s">
        <v>275</v>
      </c>
      <c r="G770" s="36" t="s">
        <v>8552</v>
      </c>
      <c r="H770" s="36" t="str">
        <f>IFERROR(VLOOKUP(Table2[[#This Row], [Ticket]],Okey!A:B,2,0),"")</f>
        <v/>
      </c>
      <c r="I770" s="36" t="s">
        <v>7975</v>
      </c>
      <c r="M770" s="36" t="s">
        <v>8016</v>
      </c>
    </row>
    <row r="771" spans="1:13" hidden="1">
      <c r="A771" s="42">
        <f t="shared" si="12"/>
        <v>770</v>
      </c>
      <c r="B771" s="36" t="s">
        <v>6</v>
      </c>
      <c r="C771" s="36" t="s">
        <v>8718</v>
      </c>
      <c r="D771" s="9" t="s">
        <v>2780</v>
      </c>
      <c r="F771" s="36" t="s">
        <v>275</v>
      </c>
      <c r="G771" s="36" t="s">
        <v>8552</v>
      </c>
      <c r="H771" s="36" t="str">
        <f>IFERROR(VLOOKUP(Table2[[#This Row], [Ticket]],Okey!A:B,2,0),"")</f>
        <v/>
      </c>
      <c r="I771" s="36" t="s">
        <v>7975</v>
      </c>
      <c r="M771" s="36" t="s">
        <v>8016</v>
      </c>
    </row>
    <row r="772" spans="1:13" hidden="1">
      <c r="A772" s="42">
        <f t="shared" si="12"/>
        <v>771</v>
      </c>
      <c r="B772" s="36" t="s">
        <v>6</v>
      </c>
      <c r="C772" s="36" t="s">
        <v>8718</v>
      </c>
      <c r="D772" s="9" t="s">
        <v>2782</v>
      </c>
      <c r="F772" s="36" t="s">
        <v>275</v>
      </c>
      <c r="G772" s="36" t="s">
        <v>8552</v>
      </c>
      <c r="H772" s="36" t="str">
        <f>IFERROR(VLOOKUP(Table2[[#This Row], [Ticket]],Okey!A:B,2,0),"")</f>
        <v/>
      </c>
      <c r="I772" s="36" t="s">
        <v>7975</v>
      </c>
      <c r="M772" s="36" t="s">
        <v>8016</v>
      </c>
    </row>
    <row r="773" spans="1:13" hidden="1">
      <c r="A773" s="42">
        <f t="shared" si="12"/>
        <v>772</v>
      </c>
      <c r="B773" s="36" t="s">
        <v>6</v>
      </c>
      <c r="C773" s="36" t="s">
        <v>8718</v>
      </c>
      <c r="D773" s="9" t="s">
        <v>2784</v>
      </c>
      <c r="F773" s="36" t="s">
        <v>275</v>
      </c>
      <c r="G773" s="36" t="s">
        <v>8552</v>
      </c>
      <c r="H773" s="36" t="str">
        <f>IFERROR(VLOOKUP(Table2[[#This Row], [Ticket]],Okey!A:B,2,0),"")</f>
        <v/>
      </c>
      <c r="I773" s="36" t="s">
        <v>7975</v>
      </c>
      <c r="M773" s="36" t="s">
        <v>8016</v>
      </c>
    </row>
    <row r="774" spans="1:13" hidden="1">
      <c r="A774" s="42">
        <f t="shared" si="12"/>
        <v>773</v>
      </c>
      <c r="B774" s="36" t="s">
        <v>6</v>
      </c>
      <c r="C774" s="36" t="s">
        <v>8718</v>
      </c>
      <c r="D774" s="9" t="s">
        <v>4335</v>
      </c>
      <c r="F774" s="36" t="s">
        <v>275</v>
      </c>
      <c r="G774" s="36" t="s">
        <v>8552</v>
      </c>
      <c r="H774" s="36" t="str">
        <f>IFERROR(VLOOKUP(Table2[[#This Row], [Ticket]],Okey!A:B,2,0),"")</f>
        <v/>
      </c>
      <c r="I774" s="36" t="s">
        <v>7975</v>
      </c>
      <c r="M774" s="36" t="s">
        <v>8016</v>
      </c>
    </row>
    <row r="775" spans="1:13" hidden="1">
      <c r="A775" s="42">
        <f t="shared" si="12"/>
        <v>774</v>
      </c>
      <c r="B775" s="36" t="s">
        <v>6</v>
      </c>
      <c r="C775" s="36" t="s">
        <v>8718</v>
      </c>
      <c r="D775" s="9" t="s">
        <v>2998</v>
      </c>
      <c r="F775" s="36" t="s">
        <v>275</v>
      </c>
      <c r="G775" s="36" t="s">
        <v>8552</v>
      </c>
      <c r="H775" s="36" t="str">
        <f>IFERROR(VLOOKUP(Table2[[#This Row], [Ticket]],Okey!A:B,2,0),"")</f>
        <v/>
      </c>
      <c r="I775" s="36" t="s">
        <v>7975</v>
      </c>
      <c r="M775" s="36" t="s">
        <v>8016</v>
      </c>
    </row>
    <row r="776" spans="1:13" hidden="1">
      <c r="A776" s="42">
        <f t="shared" si="12"/>
        <v>775</v>
      </c>
      <c r="B776" s="36" t="s">
        <v>6</v>
      </c>
      <c r="C776" s="36" t="s">
        <v>8718</v>
      </c>
      <c r="D776" s="9" t="s">
        <v>3000</v>
      </c>
      <c r="F776" s="36" t="s">
        <v>275</v>
      </c>
      <c r="G776" s="36" t="s">
        <v>8552</v>
      </c>
      <c r="H776" s="36" t="str">
        <f>IFERROR(VLOOKUP(Table2[[#This Row], [Ticket]],Okey!A:B,2,0),"")</f>
        <v/>
      </c>
      <c r="I776" s="36" t="s">
        <v>7975</v>
      </c>
      <c r="M776" s="36" t="s">
        <v>8016</v>
      </c>
    </row>
    <row r="777" spans="1:13" hidden="1">
      <c r="A777" s="42">
        <f t="shared" si="12"/>
        <v>776</v>
      </c>
      <c r="B777" s="36" t="s">
        <v>6</v>
      </c>
      <c r="C777" s="36" t="s">
        <v>8718</v>
      </c>
      <c r="D777" s="9" t="s">
        <v>3002</v>
      </c>
      <c r="F777" s="36" t="s">
        <v>275</v>
      </c>
      <c r="G777" s="36" t="s">
        <v>8552</v>
      </c>
      <c r="H777" s="36" t="str">
        <f>IFERROR(VLOOKUP(Table2[[#This Row], [Ticket]],Okey!A:B,2,0),"")</f>
        <v/>
      </c>
      <c r="I777" s="36" t="s">
        <v>7975</v>
      </c>
      <c r="M777" s="36" t="s">
        <v>8016</v>
      </c>
    </row>
    <row r="778" spans="1:13" hidden="1">
      <c r="A778" s="42">
        <f t="shared" si="12"/>
        <v>777</v>
      </c>
      <c r="B778" s="36" t="s">
        <v>6</v>
      </c>
      <c r="C778" s="36" t="s">
        <v>8718</v>
      </c>
      <c r="D778" s="9" t="s">
        <v>3004</v>
      </c>
      <c r="F778" s="36" t="s">
        <v>275</v>
      </c>
      <c r="G778" s="36" t="s">
        <v>8552</v>
      </c>
      <c r="H778" s="36" t="str">
        <f>IFERROR(VLOOKUP(Table2[[#This Row], [Ticket]],Okey!A:B,2,0),"")</f>
        <v/>
      </c>
      <c r="I778" s="36" t="s">
        <v>7975</v>
      </c>
      <c r="M778" s="36" t="s">
        <v>8016</v>
      </c>
    </row>
    <row r="779" spans="1:13" hidden="1">
      <c r="A779" s="42">
        <f t="shared" si="12"/>
        <v>778</v>
      </c>
      <c r="B779" s="36" t="s">
        <v>6</v>
      </c>
      <c r="C779" s="36" t="s">
        <v>8718</v>
      </c>
      <c r="D779" s="9" t="s">
        <v>3006</v>
      </c>
      <c r="F779" s="36" t="s">
        <v>275</v>
      </c>
      <c r="G779" s="36" t="s">
        <v>8552</v>
      </c>
      <c r="H779" s="36" t="str">
        <f>IFERROR(VLOOKUP(Table2[[#This Row], [Ticket]],Okey!A:B,2,0),"")</f>
        <v/>
      </c>
      <c r="I779" s="36" t="s">
        <v>7975</v>
      </c>
      <c r="M779" s="36" t="s">
        <v>8016</v>
      </c>
    </row>
    <row r="780" spans="1:13" hidden="1">
      <c r="A780" s="42">
        <f t="shared" si="12"/>
        <v>779</v>
      </c>
      <c r="B780" s="36" t="s">
        <v>6</v>
      </c>
      <c r="C780" s="36" t="s">
        <v>8718</v>
      </c>
      <c r="D780" s="9" t="s">
        <v>3008</v>
      </c>
      <c r="F780" s="36" t="s">
        <v>275</v>
      </c>
      <c r="G780" s="36" t="s">
        <v>8552</v>
      </c>
      <c r="H780" s="36" t="str">
        <f>IFERROR(VLOOKUP(Table2[[#This Row], [Ticket]],Okey!A:B,2,0),"")</f>
        <v/>
      </c>
      <c r="I780" s="36" t="s">
        <v>7975</v>
      </c>
      <c r="M780" s="36" t="s">
        <v>8016</v>
      </c>
    </row>
    <row r="781" spans="1:13" hidden="1">
      <c r="A781" s="42">
        <f t="shared" si="12"/>
        <v>780</v>
      </c>
      <c r="B781" s="36" t="s">
        <v>6</v>
      </c>
      <c r="C781" s="36" t="s">
        <v>8718</v>
      </c>
      <c r="D781" s="9" t="s">
        <v>3010</v>
      </c>
      <c r="F781" s="36" t="s">
        <v>275</v>
      </c>
      <c r="G781" s="36" t="s">
        <v>8552</v>
      </c>
      <c r="H781" s="36" t="str">
        <f>IFERROR(VLOOKUP(Table2[[#This Row], [Ticket]],Okey!A:B,2,0),"")</f>
        <v/>
      </c>
      <c r="I781" s="36" t="s">
        <v>7975</v>
      </c>
      <c r="M781" s="36" t="s">
        <v>8016</v>
      </c>
    </row>
    <row r="782" spans="1:13" hidden="1">
      <c r="A782" s="42">
        <f t="shared" si="12"/>
        <v>781</v>
      </c>
      <c r="B782" s="36" t="s">
        <v>6</v>
      </c>
      <c r="C782" s="36" t="s">
        <v>8718</v>
      </c>
      <c r="D782" s="9" t="s">
        <v>3012</v>
      </c>
      <c r="F782" s="36" t="s">
        <v>275</v>
      </c>
      <c r="G782" s="36" t="s">
        <v>8552</v>
      </c>
      <c r="H782" s="36" t="str">
        <f>IFERROR(VLOOKUP(Table2[[#This Row], [Ticket]],Okey!A:B,2,0),"")</f>
        <v/>
      </c>
      <c r="I782" s="36" t="s">
        <v>7975</v>
      </c>
      <c r="M782" s="36" t="s">
        <v>8016</v>
      </c>
    </row>
    <row r="783" spans="1:13" hidden="1">
      <c r="A783" s="42">
        <f t="shared" si="12"/>
        <v>782</v>
      </c>
      <c r="B783" s="36" t="s">
        <v>6</v>
      </c>
      <c r="C783" s="36" t="s">
        <v>8718</v>
      </c>
      <c r="D783" s="9" t="s">
        <v>3014</v>
      </c>
      <c r="F783" s="36" t="s">
        <v>275</v>
      </c>
      <c r="G783" s="36" t="s">
        <v>8552</v>
      </c>
      <c r="H783" s="36" t="str">
        <f>IFERROR(VLOOKUP(Table2[[#This Row], [Ticket]],Okey!A:B,2,0),"")</f>
        <v/>
      </c>
      <c r="I783" s="36" t="s">
        <v>7975</v>
      </c>
      <c r="M783" s="36" t="s">
        <v>8016</v>
      </c>
    </row>
    <row r="784" spans="1:13" hidden="1">
      <c r="A784" s="42">
        <f t="shared" si="12"/>
        <v>783</v>
      </c>
      <c r="B784" s="36" t="s">
        <v>6</v>
      </c>
      <c r="C784" s="36" t="s">
        <v>8718</v>
      </c>
      <c r="D784" s="9" t="s">
        <v>2168</v>
      </c>
      <c r="F784" s="36" t="s">
        <v>275</v>
      </c>
      <c r="G784" s="36" t="s">
        <v>8552</v>
      </c>
      <c r="H784" s="36" t="str">
        <f>IFERROR(VLOOKUP(Table2[[#This Row], [Ticket]],Okey!A:B,2,0),"")</f>
        <v/>
      </c>
      <c r="I784" s="36" t="s">
        <v>7975</v>
      </c>
      <c r="M784" s="36" t="s">
        <v>8016</v>
      </c>
    </row>
    <row r="785" spans="1:13" hidden="1">
      <c r="A785" s="42">
        <f t="shared" si="12"/>
        <v>784</v>
      </c>
      <c r="B785" s="36" t="s">
        <v>6</v>
      </c>
      <c r="C785" s="36" t="s">
        <v>8718</v>
      </c>
      <c r="D785" s="9" t="s">
        <v>4228</v>
      </c>
      <c r="F785" s="36" t="s">
        <v>275</v>
      </c>
      <c r="G785" s="36" t="s">
        <v>8552</v>
      </c>
      <c r="H785" s="36" t="str">
        <f>IFERROR(VLOOKUP(Table2[[#This Row], [Ticket]],Okey!A:B,2,0),"")</f>
        <v/>
      </c>
      <c r="I785" s="36" t="s">
        <v>7975</v>
      </c>
      <c r="M785" s="36" t="s">
        <v>8016</v>
      </c>
    </row>
    <row r="786" spans="1:13" hidden="1">
      <c r="A786" s="42">
        <f t="shared" si="12"/>
        <v>785</v>
      </c>
      <c r="B786" s="36" t="s">
        <v>6</v>
      </c>
      <c r="C786" s="36" t="s">
        <v>8718</v>
      </c>
      <c r="D786" s="9" t="s">
        <v>2719</v>
      </c>
      <c r="F786" s="36" t="s">
        <v>275</v>
      </c>
      <c r="G786" s="36" t="s">
        <v>8552</v>
      </c>
      <c r="H786" s="36" t="str">
        <f>IFERROR(VLOOKUP(Table2[[#This Row], [Ticket]],Okey!A:B,2,0),"")</f>
        <v/>
      </c>
      <c r="I786" s="36" t="s">
        <v>7975</v>
      </c>
      <c r="M786" s="36" t="s">
        <v>8016</v>
      </c>
    </row>
    <row r="787" spans="1:13" hidden="1">
      <c r="A787" s="42">
        <f t="shared" si="12"/>
        <v>786</v>
      </c>
      <c r="B787" s="36" t="s">
        <v>6</v>
      </c>
      <c r="C787" s="36" t="s">
        <v>8718</v>
      </c>
      <c r="D787" s="9" t="s">
        <v>4656</v>
      </c>
      <c r="F787" s="36" t="s">
        <v>275</v>
      </c>
      <c r="G787" s="36" t="s">
        <v>8552</v>
      </c>
      <c r="H787" s="36" t="str">
        <f>IFERROR(VLOOKUP(Table2[[#This Row], [Ticket]],Okey!A:B,2,0),"")</f>
        <v/>
      </c>
      <c r="I787" s="36" t="s">
        <v>7975</v>
      </c>
      <c r="M787" s="36" t="s">
        <v>8016</v>
      </c>
    </row>
    <row r="788" spans="1:13" hidden="1">
      <c r="A788" s="42">
        <f t="shared" ref="A788:A847" si="13">1+A787</f>
        <v>787</v>
      </c>
      <c r="B788" s="36" t="s">
        <v>6</v>
      </c>
      <c r="C788" s="36" t="s">
        <v>8718</v>
      </c>
      <c r="D788" s="9" t="s">
        <v>2690</v>
      </c>
      <c r="F788" s="36" t="s">
        <v>275</v>
      </c>
      <c r="G788" s="36" t="s">
        <v>8552</v>
      </c>
      <c r="H788" s="36" t="str">
        <f>IFERROR(VLOOKUP(Table2[[#This Row], [Ticket]],Okey!A:B,2,0),"")</f>
        <v/>
      </c>
      <c r="I788" s="36" t="s">
        <v>7975</v>
      </c>
      <c r="M788" s="36" t="s">
        <v>8016</v>
      </c>
    </row>
    <row r="789" spans="1:13" hidden="1">
      <c r="A789" s="42">
        <f t="shared" si="13"/>
        <v>788</v>
      </c>
      <c r="B789" s="36" t="s">
        <v>6</v>
      </c>
      <c r="C789" s="36" t="s">
        <v>8718</v>
      </c>
      <c r="D789" s="9" t="s">
        <v>4725</v>
      </c>
      <c r="F789" s="36" t="s">
        <v>275</v>
      </c>
      <c r="G789" s="36" t="s">
        <v>8552</v>
      </c>
      <c r="H789" s="36" t="str">
        <f>IFERROR(VLOOKUP(Table2[[#This Row], [Ticket]],Okey!A:B,2,0),"")</f>
        <v/>
      </c>
      <c r="I789" s="36" t="s">
        <v>7975</v>
      </c>
      <c r="M789" s="36" t="s">
        <v>8016</v>
      </c>
    </row>
    <row r="790" spans="1:13" hidden="1">
      <c r="A790" s="42">
        <f t="shared" si="13"/>
        <v>789</v>
      </c>
      <c r="B790" s="36" t="s">
        <v>6</v>
      </c>
      <c r="C790" s="36" t="s">
        <v>8718</v>
      </c>
      <c r="D790" s="9" t="s">
        <v>4727</v>
      </c>
      <c r="F790" s="36" t="s">
        <v>275</v>
      </c>
      <c r="G790" s="36" t="s">
        <v>8552</v>
      </c>
      <c r="H790" s="36" t="str">
        <f>IFERROR(VLOOKUP(Table2[[#This Row], [Ticket]],Okey!A:B,2,0),"")</f>
        <v/>
      </c>
      <c r="I790" s="36" t="s">
        <v>7975</v>
      </c>
      <c r="M790" s="36" t="s">
        <v>8016</v>
      </c>
    </row>
    <row r="791" spans="1:13" hidden="1">
      <c r="A791" s="42">
        <f t="shared" si="13"/>
        <v>790</v>
      </c>
      <c r="B791" s="36" t="s">
        <v>6</v>
      </c>
      <c r="C791" s="36" t="s">
        <v>8718</v>
      </c>
      <c r="D791" s="9" t="s">
        <v>4729</v>
      </c>
      <c r="F791" s="36" t="s">
        <v>275</v>
      </c>
      <c r="G791" s="36" t="s">
        <v>8552</v>
      </c>
      <c r="H791" s="36" t="str">
        <f>IFERROR(VLOOKUP(Table2[[#This Row], [Ticket]],Okey!A:B,2,0),"")</f>
        <v/>
      </c>
      <c r="I791" s="36" t="s">
        <v>7975</v>
      </c>
      <c r="M791" s="36" t="s">
        <v>8016</v>
      </c>
    </row>
    <row r="792" spans="1:13" hidden="1">
      <c r="A792" s="42">
        <f t="shared" si="13"/>
        <v>791</v>
      </c>
      <c r="B792" s="36" t="s">
        <v>6</v>
      </c>
      <c r="C792" s="36" t="s">
        <v>8718</v>
      </c>
      <c r="D792" s="9" t="s">
        <v>4926</v>
      </c>
      <c r="F792" s="36" t="s">
        <v>275</v>
      </c>
      <c r="G792" s="36" t="s">
        <v>8552</v>
      </c>
      <c r="H792" s="36" t="str">
        <f>IFERROR(VLOOKUP(Table2[[#This Row], [Ticket]],Okey!A:B,2,0),"")</f>
        <v/>
      </c>
      <c r="I792" s="36" t="s">
        <v>7975</v>
      </c>
      <c r="M792" s="36" t="s">
        <v>8016</v>
      </c>
    </row>
    <row r="793" spans="1:13" hidden="1">
      <c r="A793" s="42">
        <f t="shared" si="13"/>
        <v>792</v>
      </c>
      <c r="B793" s="36" t="s">
        <v>6</v>
      </c>
      <c r="C793" s="36" t="s">
        <v>8718</v>
      </c>
      <c r="D793" s="9" t="s">
        <v>4884</v>
      </c>
      <c r="F793" s="36" t="s">
        <v>275</v>
      </c>
      <c r="G793" s="36" t="s">
        <v>8552</v>
      </c>
      <c r="H793" s="36" t="str">
        <f>IFERROR(VLOOKUP(Table2[[#This Row], [Ticket]],Okey!A:B,2,0),"")</f>
        <v/>
      </c>
      <c r="I793" s="36" t="s">
        <v>7975</v>
      </c>
      <c r="M793" s="36" t="s">
        <v>8016</v>
      </c>
    </row>
    <row r="794" spans="1:13" hidden="1">
      <c r="A794" s="42">
        <f t="shared" si="13"/>
        <v>793</v>
      </c>
      <c r="B794" s="36" t="s">
        <v>6</v>
      </c>
      <c r="C794" s="36" t="s">
        <v>8718</v>
      </c>
      <c r="D794" s="9" t="s">
        <v>8867</v>
      </c>
      <c r="F794" s="36" t="s">
        <v>275</v>
      </c>
      <c r="G794" s="36" t="s">
        <v>8552</v>
      </c>
      <c r="H794" s="36" t="str">
        <f>IFERROR(VLOOKUP(Table2[[#This Row], [Ticket]],Okey!A:B,2,0),"")</f>
        <v/>
      </c>
      <c r="I794" s="36" t="s">
        <v>7975</v>
      </c>
      <c r="M794" s="36" t="s">
        <v>8016</v>
      </c>
    </row>
    <row r="795" spans="1:13" hidden="1">
      <c r="A795" s="42">
        <f t="shared" si="13"/>
        <v>794</v>
      </c>
      <c r="B795" s="36" t="s">
        <v>6</v>
      </c>
      <c r="C795" s="36" t="s">
        <v>8718</v>
      </c>
      <c r="D795" s="9" t="s">
        <v>4865</v>
      </c>
      <c r="F795" s="36" t="s">
        <v>275</v>
      </c>
      <c r="G795" s="36" t="s">
        <v>8552</v>
      </c>
      <c r="H795" s="36" t="str">
        <f>IFERROR(VLOOKUP(Table2[[#This Row], [Ticket]],Okey!A:B,2,0),"")</f>
        <v/>
      </c>
      <c r="I795" s="36" t="s">
        <v>7975</v>
      </c>
      <c r="M795" s="36" t="s">
        <v>8016</v>
      </c>
    </row>
    <row r="796" spans="1:13" hidden="1">
      <c r="A796" s="42">
        <f t="shared" si="13"/>
        <v>795</v>
      </c>
      <c r="B796" s="36" t="s">
        <v>6</v>
      </c>
      <c r="C796" s="36" t="s">
        <v>8718</v>
      </c>
      <c r="D796" s="9" t="s">
        <v>4887</v>
      </c>
      <c r="F796" s="36" t="s">
        <v>275</v>
      </c>
      <c r="G796" s="36" t="s">
        <v>8552</v>
      </c>
      <c r="H796" s="36" t="str">
        <f>IFERROR(VLOOKUP(Table2[[#This Row], [Ticket]],Okey!A:B,2,0),"")</f>
        <v/>
      </c>
      <c r="I796" s="36" t="s">
        <v>7975</v>
      </c>
      <c r="M796" s="36" t="s">
        <v>8016</v>
      </c>
    </row>
    <row r="797" spans="1:13" hidden="1">
      <c r="A797" s="42">
        <f t="shared" si="13"/>
        <v>796</v>
      </c>
      <c r="B797" s="36" t="s">
        <v>6</v>
      </c>
      <c r="C797" s="36" t="s">
        <v>8718</v>
      </c>
      <c r="D797" s="9" t="s">
        <v>4889</v>
      </c>
      <c r="F797" s="36" t="s">
        <v>275</v>
      </c>
      <c r="G797" s="36" t="s">
        <v>8552</v>
      </c>
      <c r="H797" s="36" t="str">
        <f>IFERROR(VLOOKUP(Table2[[#This Row], [Ticket]],Okey!A:B,2,0),"")</f>
        <v/>
      </c>
      <c r="I797" s="36" t="s">
        <v>7975</v>
      </c>
      <c r="M797" s="36" t="s">
        <v>8016</v>
      </c>
    </row>
    <row r="798" spans="1:13" hidden="1">
      <c r="A798" s="42">
        <f t="shared" si="13"/>
        <v>797</v>
      </c>
      <c r="B798" s="36" t="s">
        <v>6</v>
      </c>
      <c r="C798" s="36" t="s">
        <v>8718</v>
      </c>
      <c r="D798" s="9" t="s">
        <v>4891</v>
      </c>
      <c r="F798" s="36" t="s">
        <v>275</v>
      </c>
      <c r="G798" s="36" t="s">
        <v>8552</v>
      </c>
      <c r="H798" s="36" t="str">
        <f>IFERROR(VLOOKUP(Table2[[#This Row], [Ticket]],Okey!A:B,2,0),"")</f>
        <v/>
      </c>
      <c r="I798" s="36" t="s">
        <v>7975</v>
      </c>
      <c r="M798" s="36" t="s">
        <v>8016</v>
      </c>
    </row>
    <row r="799" spans="1:13" hidden="1">
      <c r="A799" s="42">
        <f t="shared" si="13"/>
        <v>798</v>
      </c>
      <c r="B799" s="36" t="s">
        <v>6</v>
      </c>
      <c r="C799" s="36" t="s">
        <v>8718</v>
      </c>
      <c r="D799" s="9" t="s">
        <v>4893</v>
      </c>
      <c r="F799" s="36" t="s">
        <v>275</v>
      </c>
      <c r="G799" s="36" t="s">
        <v>8552</v>
      </c>
      <c r="H799" s="36" t="str">
        <f>IFERROR(VLOOKUP(Table2[[#This Row], [Ticket]],Okey!A:B,2,0),"")</f>
        <v/>
      </c>
      <c r="I799" s="36" t="s">
        <v>7975</v>
      </c>
      <c r="M799" s="36" t="s">
        <v>8016</v>
      </c>
    </row>
    <row r="800" spans="1:13" hidden="1">
      <c r="A800" s="42">
        <f t="shared" si="13"/>
        <v>799</v>
      </c>
      <c r="B800" s="36" t="s">
        <v>6</v>
      </c>
      <c r="C800" s="36" t="s">
        <v>8718</v>
      </c>
      <c r="D800" s="9" t="s">
        <v>4895</v>
      </c>
      <c r="F800" s="36" t="s">
        <v>275</v>
      </c>
      <c r="G800" s="36" t="s">
        <v>8552</v>
      </c>
      <c r="H800" s="36" t="str">
        <f>IFERROR(VLOOKUP(Table2[[#This Row], [Ticket]],Okey!A:B,2,0),"")</f>
        <v/>
      </c>
      <c r="I800" s="36" t="s">
        <v>7975</v>
      </c>
      <c r="M800" s="36" t="s">
        <v>8016</v>
      </c>
    </row>
    <row r="801" spans="1:13" hidden="1">
      <c r="A801" s="42">
        <f t="shared" si="13"/>
        <v>800</v>
      </c>
      <c r="B801" s="36" t="s">
        <v>6</v>
      </c>
      <c r="C801" s="36" t="s">
        <v>8718</v>
      </c>
      <c r="D801" s="9" t="s">
        <v>2443</v>
      </c>
      <c r="F801" s="36" t="s">
        <v>275</v>
      </c>
      <c r="G801" s="36" t="s">
        <v>8552</v>
      </c>
      <c r="H801" s="36" t="str">
        <f>IFERROR(VLOOKUP(Table2[[#This Row], [Ticket]],Okey!A:B,2,0),"")</f>
        <v/>
      </c>
      <c r="I801" s="36" t="s">
        <v>7975</v>
      </c>
      <c r="M801" s="36" t="s">
        <v>8016</v>
      </c>
    </row>
    <row r="802" spans="1:13" hidden="1">
      <c r="A802" s="42">
        <f t="shared" si="13"/>
        <v>801</v>
      </c>
      <c r="B802" s="36" t="s">
        <v>6</v>
      </c>
      <c r="C802" s="36" t="s">
        <v>8949</v>
      </c>
      <c r="D802" s="9" t="s">
        <v>8943</v>
      </c>
      <c r="E802" s="9" t="s">
        <v>8944</v>
      </c>
      <c r="F802" s="9" t="s">
        <v>7911</v>
      </c>
      <c r="G802" s="9" t="s">
        <v>14</v>
      </c>
      <c r="H802" s="36" t="str">
        <f>IFERROR(VLOOKUP(Table2[[#This Row], [Ticket]],Okey!A:B,2,0),"")</f>
        <v/>
      </c>
      <c r="I802" s="36" t="s">
        <v>7975</v>
      </c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8949</v>
      </c>
      <c r="D803" s="9" t="s">
        <v>8945</v>
      </c>
      <c r="E803" s="9" t="s">
        <v>8946</v>
      </c>
      <c r="F803" s="9" t="s">
        <v>7911</v>
      </c>
      <c r="G803" s="36" t="s">
        <v>14</v>
      </c>
      <c r="H803" s="36" t="str">
        <f>IFERROR(VLOOKUP(Table2[[#This Row], [Ticket]],Okey!A:B,2,0),"")</f>
        <v/>
      </c>
      <c r="I803" s="36" t="s">
        <v>7975</v>
      </c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8949</v>
      </c>
      <c r="D804" s="9" t="s">
        <v>8947</v>
      </c>
      <c r="E804" s="9" t="s">
        <v>8948</v>
      </c>
      <c r="F804" s="9" t="s">
        <v>7911</v>
      </c>
      <c r="G804" s="36" t="s">
        <v>14</v>
      </c>
      <c r="H804" s="36" t="str">
        <f>IFERROR(VLOOKUP(Table2[[#This Row], [Ticket]],Okey!A:B,2,0),"")</f>
        <v/>
      </c>
      <c r="I804" s="36" t="s">
        <v>7975</v>
      </c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8950</v>
      </c>
      <c r="D805" s="9" t="s">
        <v>8116</v>
      </c>
      <c r="F805" s="36" t="s">
        <v>275</v>
      </c>
      <c r="G805" s="36" t="s">
        <v>8552</v>
      </c>
      <c r="H805" s="36" t="str">
        <f>IFERROR(VLOOKUP(Table2[[#This Row], [Ticket]],Okey!A:B,2,0),"")</f>
        <v/>
      </c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8950</v>
      </c>
      <c r="D806" s="36" t="s">
        <v>8971</v>
      </c>
      <c r="E806" t="s">
        <v>8951</v>
      </c>
      <c r="F806" t="s">
        <v>8970</v>
      </c>
      <c r="G806" s="36" t="s">
        <v>14</v>
      </c>
      <c r="H806" s="36" t="str">
        <f>IFERROR(VLOOKUP(Table2[[#This Row], [Ticket]],Okey!A:B,2,0),"")</f>
        <v/>
      </c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8950</v>
      </c>
      <c r="D807" s="9" t="s">
        <v>8972</v>
      </c>
      <c r="E807" t="s">
        <v>8952</v>
      </c>
      <c r="F807" t="s">
        <v>8971</v>
      </c>
      <c r="G807" s="36" t="s">
        <v>14</v>
      </c>
      <c r="H807" s="36" t="str">
        <f>IFERROR(VLOOKUP(Table2[[#This Row], [Ticket]],Okey!A:B,2,0),"")</f>
        <v/>
      </c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8950</v>
      </c>
      <c r="D808" s="9" t="s">
        <v>8973</v>
      </c>
      <c r="E808" t="s">
        <v>8953</v>
      </c>
      <c r="F808" t="s">
        <v>8971</v>
      </c>
      <c r="G808" s="36" t="s">
        <v>14</v>
      </c>
      <c r="H808" s="36" t="str">
        <f>IFERROR(VLOOKUP(Table2[[#This Row], [Ticket]],Okey!A:B,2,0),"")</f>
        <v/>
      </c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8950</v>
      </c>
      <c r="D809" s="9" t="s">
        <v>8974</v>
      </c>
      <c r="E809" t="s">
        <v>8954</v>
      </c>
      <c r="F809" t="s">
        <v>8971</v>
      </c>
      <c r="G809" s="36" t="s">
        <v>14</v>
      </c>
      <c r="H809" s="36" t="str">
        <f>IFERROR(VLOOKUP(Table2[[#This Row], [Ticket]],Okey!A:B,2,0),"")</f>
        <v/>
      </c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8950</v>
      </c>
      <c r="D810" s="9" t="s">
        <v>8975</v>
      </c>
      <c r="E810" t="s">
        <v>8955</v>
      </c>
      <c r="F810" t="s">
        <v>8971</v>
      </c>
      <c r="G810" s="36" t="s">
        <v>14</v>
      </c>
      <c r="H810" s="36" t="str">
        <f>IFERROR(VLOOKUP(Table2[[#This Row], [Ticket]],Okey!A:B,2,0),"")</f>
        <v/>
      </c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8950</v>
      </c>
      <c r="D811" s="9" t="s">
        <v>8976</v>
      </c>
      <c r="E811" t="s">
        <v>8956</v>
      </c>
      <c r="F811" t="s">
        <v>8971</v>
      </c>
      <c r="G811" s="36" t="s">
        <v>14</v>
      </c>
      <c r="H811" s="36" t="str">
        <f>IFERROR(VLOOKUP(Table2[[#This Row], [Ticket]],Okey!A:B,2,0),"")</f>
        <v/>
      </c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8950</v>
      </c>
      <c r="D812" s="9" t="s">
        <v>8977</v>
      </c>
      <c r="E812" t="s">
        <v>8957</v>
      </c>
      <c r="F812" t="s">
        <v>8971</v>
      </c>
      <c r="G812" s="36" t="s">
        <v>14</v>
      </c>
      <c r="H812" s="36" t="str">
        <f>IFERROR(VLOOKUP(Table2[[#This Row], [Ticket]],Okey!A:B,2,0),"")</f>
        <v/>
      </c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8950</v>
      </c>
      <c r="D813" s="9" t="s">
        <v>8978</v>
      </c>
      <c r="E813" t="s">
        <v>8958</v>
      </c>
      <c r="F813" t="s">
        <v>8972</v>
      </c>
      <c r="G813" s="36" t="s">
        <v>14</v>
      </c>
      <c r="H813" s="36" t="str">
        <f>IFERROR(VLOOKUP(Table2[[#This Row], [Ticket]],Okey!A:B,2,0),"")</f>
        <v/>
      </c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8950</v>
      </c>
      <c r="D814" s="9" t="s">
        <v>8979</v>
      </c>
      <c r="E814" t="s">
        <v>8959</v>
      </c>
      <c r="F814" t="s">
        <v>8972</v>
      </c>
      <c r="G814" s="36" t="s">
        <v>14</v>
      </c>
      <c r="H814" s="36" t="str">
        <f>IFERROR(VLOOKUP(Table2[[#This Row], [Ticket]],Okey!A:B,2,0),"")</f>
        <v/>
      </c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8950</v>
      </c>
      <c r="D815" s="9" t="s">
        <v>8980</v>
      </c>
      <c r="E815" t="s">
        <v>8960</v>
      </c>
      <c r="F815" t="s">
        <v>8972</v>
      </c>
      <c r="G815" s="36" t="s">
        <v>14</v>
      </c>
      <c r="H815" s="36" t="str">
        <f>IFERROR(VLOOKUP(Table2[[#This Row], [Ticket]],Okey!A:B,2,0),"")</f>
        <v/>
      </c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8950</v>
      </c>
      <c r="D816" s="9" t="s">
        <v>8981</v>
      </c>
      <c r="E816" t="s">
        <v>8961</v>
      </c>
      <c r="F816" t="s">
        <v>8972</v>
      </c>
      <c r="G816" s="36" t="s">
        <v>14</v>
      </c>
      <c r="H816" s="36" t="str">
        <f>IFERROR(VLOOKUP(Table2[[#This Row], [Ticket]],Okey!A:B,2,0),"")</f>
        <v/>
      </c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8950</v>
      </c>
      <c r="D817" s="9" t="s">
        <v>8982</v>
      </c>
      <c r="E817" t="s">
        <v>8962</v>
      </c>
      <c r="F817" t="s">
        <v>8972</v>
      </c>
      <c r="G817" s="36" t="s">
        <v>14</v>
      </c>
      <c r="H817" s="36" t="str">
        <f>IFERROR(VLOOKUP(Table2[[#This Row], [Ticket]],Okey!A:B,2,0),"")</f>
        <v/>
      </c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8950</v>
      </c>
      <c r="D818" s="9" t="s">
        <v>8983</v>
      </c>
      <c r="E818" t="s">
        <v>8963</v>
      </c>
      <c r="F818" t="s">
        <v>8973</v>
      </c>
      <c r="G818" s="36" t="s">
        <v>14</v>
      </c>
      <c r="H818" s="36" t="str">
        <f>IFERROR(VLOOKUP(Table2[[#This Row], [Ticket]],Okey!A:B,2,0),"")</f>
        <v/>
      </c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8950</v>
      </c>
      <c r="D819" s="9" t="s">
        <v>8984</v>
      </c>
      <c r="E819" t="s">
        <v>8964</v>
      </c>
      <c r="F819" t="s">
        <v>8973</v>
      </c>
      <c r="G819" s="36" t="s">
        <v>14</v>
      </c>
      <c r="H819" s="36" t="str">
        <f>IFERROR(VLOOKUP(Table2[[#This Row], [Ticket]],Okey!A:B,2,0),"")</f>
        <v/>
      </c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8950</v>
      </c>
      <c r="D820" s="9" t="s">
        <v>8985</v>
      </c>
      <c r="E820" t="s">
        <v>8965</v>
      </c>
      <c r="F820" t="s">
        <v>8973</v>
      </c>
      <c r="G820" s="36" t="s">
        <v>14</v>
      </c>
      <c r="H820" s="36" t="str">
        <f>IFERROR(VLOOKUP(Table2[[#This Row], [Ticket]],Okey!A:B,2,0),"")</f>
        <v/>
      </c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8950</v>
      </c>
      <c r="D821" s="9" t="s">
        <v>8986</v>
      </c>
      <c r="E821" t="s">
        <v>8966</v>
      </c>
      <c r="F821" t="s">
        <v>8974</v>
      </c>
      <c r="G821" s="36" t="s">
        <v>14</v>
      </c>
      <c r="H821" s="36" t="str">
        <f>IFERROR(VLOOKUP(Table2[[#This Row], [Ticket]],Okey!A:B,2,0),"")</f>
        <v/>
      </c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8950</v>
      </c>
      <c r="D822" s="9" t="s">
        <v>8987</v>
      </c>
      <c r="E822" t="s">
        <v>8967</v>
      </c>
      <c r="F822" t="s">
        <v>8975</v>
      </c>
      <c r="G822" s="36" t="s">
        <v>14</v>
      </c>
      <c r="H822" s="36" t="str">
        <f>IFERROR(VLOOKUP(Table2[[#This Row], [Ticket]],Okey!A:B,2,0),"")</f>
        <v/>
      </c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8950</v>
      </c>
      <c r="D823" s="9" t="s">
        <v>8988</v>
      </c>
      <c r="E823" t="s">
        <v>8968</v>
      </c>
      <c r="F823" t="s">
        <v>8976</v>
      </c>
      <c r="G823" s="36" t="s">
        <v>14</v>
      </c>
      <c r="H823" s="36" t="str">
        <f>IFERROR(VLOOKUP(Table2[[#This Row], [Ticket]],Okey!A:B,2,0),"")</f>
        <v/>
      </c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8950</v>
      </c>
      <c r="D824" s="9" t="s">
        <v>8989</v>
      </c>
      <c r="E824" t="s">
        <v>8969</v>
      </c>
      <c r="F824" t="s">
        <v>8977</v>
      </c>
      <c r="G824" s="36" t="s">
        <v>14</v>
      </c>
      <c r="H824" s="36" t="str">
        <f>IFERROR(VLOOKUP(Table2[[#This Row], [Ticket]],Okey!A:B,2,0),"")</f>
        <v/>
      </c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8990</v>
      </c>
      <c r="D825" s="9" t="s">
        <v>8991</v>
      </c>
      <c r="F825" s="9" t="s">
        <v>8992</v>
      </c>
      <c r="G825" s="9" t="s">
        <v>13</v>
      </c>
      <c r="H825" s="36" t="str">
        <f>IFERROR(VLOOKUP(Table2[[#This Row], [Ticket]],Okey!A:B,2,0),"")</f>
        <v/>
      </c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8990</v>
      </c>
      <c r="D826" s="9" t="s">
        <v>6476</v>
      </c>
      <c r="F826" s="9" t="s">
        <v>8992</v>
      </c>
      <c r="G826" s="36" t="s">
        <v>13</v>
      </c>
      <c r="H826" s="36" t="str">
        <f>IFERROR(VLOOKUP(Table2[[#This Row], [Ticket]],Okey!A:B,2,0),"")</f>
        <v/>
      </c>
      <c r="K826" s="9" t="s">
        <v>6567</v>
      </c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8990</v>
      </c>
      <c r="D827" s="9" t="s">
        <v>5550</v>
      </c>
      <c r="F827" s="9" t="s">
        <v>8992</v>
      </c>
      <c r="G827" s="36" t="s">
        <v>13</v>
      </c>
      <c r="H827" s="36" t="str">
        <f>IFERROR(VLOOKUP(Table2[[#This Row], [Ticket]],Okey!A:B,2,0),"")</f>
        <v/>
      </c>
      <c r="K827" s="36" t="s">
        <v>6567</v>
      </c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8993</v>
      </c>
      <c r="D828" s="9" t="s">
        <v>8994</v>
      </c>
      <c r="F828" s="9" t="s">
        <v>8995</v>
      </c>
      <c r="G828" s="36" t="s">
        <v>13</v>
      </c>
      <c r="H828" s="36" t="str">
        <f>IFERROR(VLOOKUP(Table2[[#This Row], [Ticket]],Okey!A:B,2,0),"")</f>
        <v/>
      </c>
      <c r="K828" s="36" t="s">
        <v>6567</v>
      </c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8997</v>
      </c>
      <c r="D829" s="70" t="s">
        <v>8996</v>
      </c>
      <c r="F829" t="s">
        <v>8597</v>
      </c>
      <c r="G829" s="36" t="s">
        <v>13</v>
      </c>
      <c r="H829" s="36" t="str">
        <f>IFERROR(VLOOKUP(Table2[[#This Row], [Ticket]],Okey!A:B,2,0),"")</f>
        <v/>
      </c>
      <c r="K829" s="36" t="s">
        <v>6567</v>
      </c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8997</v>
      </c>
      <c r="D830" t="s">
        <v>8600</v>
      </c>
      <c r="F830" s="9" t="s">
        <v>6029</v>
      </c>
      <c r="G830" s="9" t="s">
        <v>8552</v>
      </c>
      <c r="H830" s="36" t="str">
        <f>IFERROR(VLOOKUP(Table2[[#This Row], [Ticket]],Okey!A:B,2,0),"")</f>
        <v/>
      </c>
      <c r="K830" s="36" t="s">
        <v>6567</v>
      </c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9005</v>
      </c>
      <c r="D831" s="9" t="s">
        <v>4807</v>
      </c>
      <c r="E831" s="9" t="s">
        <v>8998</v>
      </c>
      <c r="G831" s="9" t="s">
        <v>15</v>
      </c>
      <c r="H831" s="36" t="str">
        <f>IFERROR(VLOOKUP(Table2[[#This Row], [Ticket]],Okey!A:B,2,0),"")</f>
        <v/>
      </c>
      <c r="K831" s="36" t="s">
        <v>6456</v>
      </c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9005</v>
      </c>
      <c r="D832" s="9" t="s">
        <v>4809</v>
      </c>
      <c r="E832" s="9" t="s">
        <v>8999</v>
      </c>
      <c r="G832" s="36" t="s">
        <v>15</v>
      </c>
      <c r="H832" s="36" t="str">
        <f>IFERROR(VLOOKUP(Table2[[#This Row], [Ticket]],Okey!A:B,2,0),"")</f>
        <v/>
      </c>
      <c r="K832" s="36" t="s">
        <v>6456</v>
      </c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9005</v>
      </c>
      <c r="D833" s="9" t="s">
        <v>4811</v>
      </c>
      <c r="E833" s="9" t="s">
        <v>9000</v>
      </c>
      <c r="G833" s="36" t="s">
        <v>15</v>
      </c>
      <c r="H833" s="36" t="str">
        <f>IFERROR(VLOOKUP(Table2[[#This Row], [Ticket]],Okey!A:B,2,0),"")</f>
        <v/>
      </c>
      <c r="K833" s="36" t="s">
        <v>6456</v>
      </c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9005</v>
      </c>
      <c r="D834" s="9" t="s">
        <v>4813</v>
      </c>
      <c r="E834" s="9" t="s">
        <v>9001</v>
      </c>
      <c r="G834" s="36" t="s">
        <v>15</v>
      </c>
      <c r="H834" s="36" t="str">
        <f>IFERROR(VLOOKUP(Table2[[#This Row], [Ticket]],Okey!A:B,2,0),"")</f>
        <v/>
      </c>
      <c r="K834" s="36" t="s">
        <v>6456</v>
      </c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9005</v>
      </c>
      <c r="D835" s="9" t="s">
        <v>4816</v>
      </c>
      <c r="E835" s="9" t="s">
        <v>9002</v>
      </c>
      <c r="G835" s="36" t="s">
        <v>15</v>
      </c>
      <c r="H835" s="36" t="str">
        <f>IFERROR(VLOOKUP(Table2[[#This Row], [Ticket]],Okey!A:B,2,0),"")</f>
        <v/>
      </c>
      <c r="K835" s="36" t="s">
        <v>6456</v>
      </c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9005</v>
      </c>
      <c r="D836" s="9" t="s">
        <v>9004</v>
      </c>
      <c r="F836" s="9" t="s">
        <v>275</v>
      </c>
      <c r="G836" s="9" t="s">
        <v>8552</v>
      </c>
      <c r="H836" s="36" t="str">
        <f>IFERROR(VLOOKUP(Table2[[#This Row], [Ticket]],Okey!A:B,2,0),"")</f>
        <v/>
      </c>
      <c r="K836" s="9" t="s">
        <v>9003</v>
      </c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9008</v>
      </c>
      <c r="D837" s="9" t="s">
        <v>9006</v>
      </c>
      <c r="F837" s="9" t="s">
        <v>9007</v>
      </c>
      <c r="G837" s="9" t="s">
        <v>13</v>
      </c>
      <c r="H837" s="36" t="str">
        <f>IFERROR(VLOOKUP(Table2[[#This Row], [Ticket]],Okey!A:B,2,0),"")</f>
        <v/>
      </c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9008</v>
      </c>
      <c r="D838" s="70" t="s">
        <v>8169</v>
      </c>
      <c r="F838" t="s">
        <v>1277</v>
      </c>
      <c r="G838" s="36" t="s">
        <v>13</v>
      </c>
      <c r="H838" s="36" t="str">
        <f>IFERROR(VLOOKUP(Table2[[#This Row], [Ticket]],Okey!A:B,2,0),"")</f>
        <v/>
      </c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9009</v>
      </c>
      <c r="D839" s="38" t="s">
        <v>1290</v>
      </c>
      <c r="E839" s="38" t="s">
        <v>9010</v>
      </c>
      <c r="G839" s="36" t="s">
        <v>15</v>
      </c>
      <c r="H839" s="36" t="str">
        <f>IFERROR(VLOOKUP(Table2[[#This Row], [Ticket]],Okey!A:B,2,0),"")</f>
        <v/>
      </c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9013</v>
      </c>
      <c r="D840" s="9" t="s">
        <v>7606</v>
      </c>
      <c r="F840" s="9" t="s">
        <v>7606</v>
      </c>
      <c r="G840" s="9" t="s">
        <v>13</v>
      </c>
      <c r="H840" s="36" t="str">
        <f>IFERROR(VLOOKUP(Table2[[#This Row], [Ticket]],Okey!A:B,2,0),"")</f>
        <v/>
      </c>
      <c r="M840" s="9" t="s">
        <v>8016</v>
      </c>
    </row>
    <row r="841" spans="1:13">
      <c r="A841" s="42">
        <f t="shared" si="13"/>
        <v>840</v>
      </c>
      <c r="B841" s="36" t="s">
        <v>6</v>
      </c>
      <c r="C841" s="36" t="s">
        <v>9013</v>
      </c>
      <c r="D841" s="9" t="s">
        <v>9011</v>
      </c>
      <c r="F841" s="9" t="s">
        <v>9011</v>
      </c>
      <c r="G841" s="36" t="s">
        <v>13</v>
      </c>
      <c r="H841" s="36" t="str">
        <f>IFERROR(VLOOKUP(Table2[[#This Row], [Ticket]],Okey!A:B,2,0),"")</f>
        <v/>
      </c>
      <c r="M841" s="36" t="s">
        <v>8016</v>
      </c>
    </row>
    <row r="842" spans="1:13">
      <c r="A842" s="42">
        <f t="shared" si="13"/>
        <v>841</v>
      </c>
      <c r="B842" s="36" t="s">
        <v>6</v>
      </c>
      <c r="C842" s="36" t="s">
        <v>9013</v>
      </c>
      <c r="D842" s="9" t="s">
        <v>9011</v>
      </c>
      <c r="F842" s="9" t="s">
        <v>9011</v>
      </c>
      <c r="G842" s="36" t="s">
        <v>13</v>
      </c>
      <c r="H842" s="36" t="str">
        <f>IFERROR(VLOOKUP(Table2[[#This Row], [Ticket]],Okey!A:B,2,0),"")</f>
        <v/>
      </c>
      <c r="M842" s="36" t="s">
        <v>8016</v>
      </c>
    </row>
    <row r="843" spans="1:13">
      <c r="A843" s="42">
        <f t="shared" si="13"/>
        <v>842</v>
      </c>
      <c r="B843" s="36" t="s">
        <v>6</v>
      </c>
      <c r="C843" s="36" t="s">
        <v>9013</v>
      </c>
      <c r="D843" s="9" t="s">
        <v>9012</v>
      </c>
      <c r="F843" s="9" t="s">
        <v>9012</v>
      </c>
      <c r="G843" s="36" t="s">
        <v>13</v>
      </c>
      <c r="H843" s="36" t="str">
        <f>IFERROR(VLOOKUP(Table2[[#This Row], [Ticket]],Okey!A:B,2,0),"")</f>
        <v/>
      </c>
      <c r="M843" s="36" t="s">
        <v>8016</v>
      </c>
    </row>
    <row r="844" spans="1:13">
      <c r="A844" s="42">
        <f t="shared" si="13"/>
        <v>843</v>
      </c>
      <c r="B844" s="36" t="s">
        <v>6</v>
      </c>
      <c r="C844" s="36" t="s">
        <v>9013</v>
      </c>
      <c r="D844" s="9" t="s">
        <v>9011</v>
      </c>
      <c r="F844" s="9" t="s">
        <v>9011</v>
      </c>
      <c r="G844" s="36" t="s">
        <v>13</v>
      </c>
      <c r="H844" s="36" t="str">
        <f>IFERROR(VLOOKUP(Table2[[#This Row], [Ticket]],Okey!A:B,2,0),"")</f>
        <v/>
      </c>
      <c r="M844" s="36" t="s">
        <v>8016</v>
      </c>
    </row>
    <row r="845" spans="1:13">
      <c r="A845" s="42">
        <f t="shared" si="13"/>
        <v>844</v>
      </c>
      <c r="B845" s="36" t="s">
        <v>6</v>
      </c>
      <c r="C845" s="36" t="s">
        <v>9013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/>
      </c>
      <c r="M845" s="36" t="s">
        <v>8016</v>
      </c>
    </row>
    <row r="846" spans="1:13">
      <c r="A846" s="42">
        <f t="shared" si="13"/>
        <v>845</v>
      </c>
      <c r="B846" s="36" t="s">
        <v>6</v>
      </c>
      <c r="C846" s="9" t="s">
        <v>9014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/>
      </c>
      <c r="M846" s="9" t="s">
        <v>8016</v>
      </c>
    </row>
    <row r="847" spans="1:13">
      <c r="A847" s="42">
        <f t="shared" si="13"/>
        <v>846</v>
      </c>
      <c r="B847" s="36" t="s">
        <v>6</v>
      </c>
      <c r="C847" s="36" t="s">
        <v>9014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/>
      </c>
      <c r="M847" s="9" t="s">
        <v>8016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#N/A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#N/A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#N/A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#N/A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#N/A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#N/A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6622</v>
      </c>
      <c r="B263" s="36" t="s">
        <v>86</v>
      </c>
    </row>
    <row r="264" spans="1:2">
      <c r="A264" s="5" t="s">
        <v>6628</v>
      </c>
      <c r="B264" s="36" t="s">
        <v>86</v>
      </c>
    </row>
    <row r="265" spans="1:2">
      <c r="A265" s="5" t="s">
        <v>6631</v>
      </c>
      <c r="B265" s="36" t="s">
        <v>86</v>
      </c>
    </row>
    <row r="266" spans="1:2">
      <c r="A266" s="5" t="s">
        <v>6632</v>
      </c>
      <c r="B266" s="36" t="s">
        <v>86</v>
      </c>
    </row>
    <row r="267" spans="1:2">
      <c r="A267" s="5" t="s">
        <v>6638</v>
      </c>
      <c r="B267" s="36" t="s">
        <v>86</v>
      </c>
    </row>
    <row r="268" spans="1:2">
      <c r="A268" s="5" t="s">
        <v>6639</v>
      </c>
      <c r="B268" s="36" t="s">
        <v>86</v>
      </c>
    </row>
    <row r="269" spans="1:2">
      <c r="A269" s="5" t="s">
        <v>6649</v>
      </c>
      <c r="B269" s="36" t="s">
        <v>86</v>
      </c>
    </row>
    <row r="270" spans="1:2">
      <c r="A270" s="5" t="s">
        <v>6654</v>
      </c>
      <c r="B270" s="36" t="s">
        <v>86</v>
      </c>
    </row>
    <row r="271" spans="1:2">
      <c r="A271" s="5" t="s">
        <v>6658</v>
      </c>
      <c r="B271" s="36" t="s">
        <v>86</v>
      </c>
    </row>
    <row r="272" spans="1:2">
      <c r="A272" s="5" t="s">
        <v>6709</v>
      </c>
      <c r="B272" s="36" t="s">
        <v>86</v>
      </c>
    </row>
    <row r="273" spans="1:2">
      <c r="A273" s="5" t="s">
        <v>6716</v>
      </c>
      <c r="B273" s="36" t="s">
        <v>86</v>
      </c>
    </row>
    <row r="274" spans="1:2">
      <c r="A274" s="5" t="s">
        <v>6724</v>
      </c>
      <c r="B274" s="36" t="s">
        <v>86</v>
      </c>
    </row>
    <row r="275" spans="1:2">
      <c r="A275" s="5" t="s">
        <v>6729</v>
      </c>
      <c r="B275" s="36" t="s">
        <v>86</v>
      </c>
    </row>
    <row r="276" spans="1:2">
      <c r="A276" s="5" t="s">
        <v>6733</v>
      </c>
      <c r="B276" s="36" t="s">
        <v>86</v>
      </c>
    </row>
    <row r="277" spans="1:2">
      <c r="A277" s="5" t="s">
        <v>7582</v>
      </c>
      <c r="B277" s="36" t="s">
        <v>86</v>
      </c>
    </row>
    <row r="278" spans="1:2">
      <c r="A278" s="5" t="s">
        <v>7587</v>
      </c>
      <c r="B278" s="36" t="s">
        <v>86</v>
      </c>
    </row>
    <row r="279" spans="1:2">
      <c r="A279" s="46" t="s">
        <v>7626</v>
      </c>
      <c r="B279" s="36" t="s">
        <v>86</v>
      </c>
    </row>
    <row r="280" spans="1:2">
      <c r="A280" s="46" t="s">
        <v>7678</v>
      </c>
      <c r="B280" s="36" t="s">
        <v>86</v>
      </c>
    </row>
    <row r="281" spans="1:2">
      <c r="A281" s="46" t="s">
        <v>7753</v>
      </c>
      <c r="B281" s="36" t="s">
        <v>86</v>
      </c>
    </row>
    <row r="282" spans="1:2">
      <c r="A282" s="46" t="s">
        <v>7755</v>
      </c>
      <c r="B282" s="36" t="s">
        <v>86</v>
      </c>
    </row>
    <row r="283" spans="1:2">
      <c r="A283" s="46" t="s">
        <v>7879</v>
      </c>
      <c r="B283" s="36" t="s">
        <v>86</v>
      </c>
    </row>
    <row r="284" spans="1:2">
      <c r="A284" s="46" t="s">
        <v>7881</v>
      </c>
      <c r="B284" s="36" t="s">
        <v>86</v>
      </c>
    </row>
    <row r="285" spans="1:2">
      <c r="A285" s="5" t="s">
        <v>7158</v>
      </c>
      <c r="B285" s="36" t="s">
        <v>86</v>
      </c>
    </row>
    <row r="286" spans="1:2">
      <c r="A286" s="5" t="s">
        <v>7160</v>
      </c>
      <c r="B286" s="36" t="s">
        <v>86</v>
      </c>
    </row>
    <row r="287" spans="1:2">
      <c r="A287" s="47" t="s">
        <v>7907</v>
      </c>
      <c r="B287" s="36" t="s">
        <v>86</v>
      </c>
    </row>
    <row r="288" spans="1:2">
      <c r="A288" s="5" t="s">
        <v>7912</v>
      </c>
      <c r="B288" s="36" t="s">
        <v>86</v>
      </c>
    </row>
    <row r="289" spans="1:2">
      <c r="A289" s="5" t="s">
        <v>7978</v>
      </c>
      <c r="B289" s="36" t="s">
        <v>86</v>
      </c>
    </row>
    <row r="290" spans="1:2">
      <c r="A290" s="5" t="s">
        <v>7979</v>
      </c>
      <c r="B290" s="36" t="s">
        <v>86</v>
      </c>
    </row>
    <row r="291" spans="1:2">
      <c r="A291" s="47" t="s">
        <v>7910</v>
      </c>
      <c r="B291" s="36" t="s">
        <v>86</v>
      </c>
    </row>
    <row r="292" spans="1:2">
      <c r="A292" s="5" t="s">
        <v>7944</v>
      </c>
      <c r="B292" s="36" t="s">
        <v>86</v>
      </c>
    </row>
    <row r="293" spans="1:2">
      <c r="A293" s="5" t="s">
        <v>7947</v>
      </c>
      <c r="B293" s="36" t="s">
        <v>86</v>
      </c>
    </row>
    <row r="294" spans="1:2">
      <c r="A294" s="5" t="s">
        <v>8128</v>
      </c>
      <c r="B294" s="36" t="s">
        <v>86</v>
      </c>
    </row>
    <row r="295" spans="1:2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2026-02-11T14:29:55Z</dcterms:modified>
</cp:coreProperties>
</file>